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19272c86b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a_Saya" sheetId="1" r:id="R2d3a58cc1c8a4c2e"/>
    <x:sheet xmlns:r="http://schemas.openxmlformats.org/officeDocument/2006/relationships" name="Ringkasan" sheetId="2" r:id="R44e1743959d3416b"/>
    <x:sheet xmlns:r="http://schemas.openxmlformats.org/officeDocument/2006/relationships" name="Data_Minimum" sheetId="3" r:id="R05ad6030356541e6"/>
    <x:sheet xmlns:r="http://schemas.openxmlformats.org/officeDocument/2006/relationships" name="Asumsi" sheetId="4" r:id="Rb3dcc788afe74589"/>
    <x:sheet xmlns:r="http://schemas.openxmlformats.org/officeDocument/2006/relationships" name="Sampel_Harga" sheetId="5" r:id="R4a97f528afcb42fc"/>
    <x:sheet xmlns:r="http://schemas.openxmlformats.org/officeDocument/2006/relationships" name="NIR_ZNT" sheetId="6" r:id="R14436a38d3a24230"/>
    <x:sheet xmlns:r="http://schemas.openxmlformats.org/officeDocument/2006/relationships" name="Objek_Representatif" sheetId="7" r:id="Ra5852d0716ec47cb"/>
    <x:sheet xmlns:r="http://schemas.openxmlformats.org/officeDocument/2006/relationships" name="PBB_P2" sheetId="8" r:id="Rca1a471478f14799"/>
    <x:sheet xmlns:r="http://schemas.openxmlformats.org/officeDocument/2006/relationships" name="Sumber" sheetId="9" r:id="R47b6fca713d445f2"/>
    <x:sheet xmlns:r="http://schemas.openxmlformats.org/officeDocument/2006/relationships" name="Audit" sheetId="10" r:id="Rbf661df6cd334c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yy"/>
    <x:numFmt numFmtId="201" formatCode="0.0%"/>
    <x:numFmt numFmtId="202" formatCode="0.00x"/>
    <x:numFmt numFmtId="203" formatCode="&quot;Rp&quot; #,##0"/>
    <x:numFmt numFmtId="204" formatCode="0.0"/>
    <x:numFmt numFmtId="205" formatCode="#,##0"/>
    <x:numFmt numFmtId="206" formatCode="0.00%"/>
  </x:numFmts>
  <x:fonts count="14">
    <x:font>
      <x:sz val="11"/>
      <x:name val="Carlito"/>
    </x:font>
    <x:font>
      <x:sz val="10"/>
      <x:color rgb="FF000000"/>
      <x:name val="Arial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b/>
      <x:sz val="10"/>
      <x:color rgb="FFC00000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b/>
      <x:sz val="10"/>
      <x:color rgb="FF000000"/>
      <x:name val="Arial"/>
    </x:font>
    <x:font>
      <x:b/>
      <x:sz val="10"/>
      <x:color rgb="FF0000FF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17365D"/>
      <x:name val="Arial"/>
    </x:font>
    <x:font>
      <x:b/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9" fillId="5" borderId="0" xfId="0" applyNumberFormat="1" applyFont="1" applyFill="1" applyBorder="1"/>
    <x:xf numFmtId="200" fontId="9" fillId="5" borderId="0" xfId="0" applyNumberFormat="1" applyFont="1" applyFill="1" applyBorder="1"/>
    <x:xf numFmtId="201" fontId="9" fillId="5" borderId="0" xfId="0" applyNumberFormat="1" applyFont="1" applyFill="1" applyBorder="1"/>
    <x:xf numFmtId="202" fontId="9" fillId="5" borderId="0" xfId="0" applyNumberFormat="1" applyFont="1" applyFill="1" applyBorder="1"/>
    <x:xf numFmtId="203" fontId="9" fillId="5" borderId="0" xfId="0" applyNumberFormat="1" applyFont="1" applyFill="1" applyBorder="1"/>
    <x:xf numFmtId="200" fontId="9" fillId="5" borderId="0" xfId="0" applyNumberFormat="1" applyFont="1" applyFill="1" applyBorder="1" applyAlignment="1">
      <x:alignment wrapText="1"/>
    </x:xf>
    <x:xf numFmtId="201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202" fontId="9" fillId="5" borderId="0" xfId="0" applyNumberFormat="1" applyFont="1" applyFill="1" applyBorder="1" applyAlignment="1">
      <x:alignment wrapText="1"/>
    </x:xf>
    <x:xf numFmtId="203" fontId="9" fillId="5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0" fontId="1" fillId="0" borderId="0" xfId="0" applyNumberFormat="1" applyFont="1" applyFill="1" applyBorder="1"/>
    <x:xf numFmtId="0" fontId="11" fillId="5" borderId="0" xfId="0" applyNumberFormat="1" applyFont="1" applyFill="1" applyBorder="1"/>
    <x:xf numFmtId="203" fontId="11" fillId="5" borderId="0" xfId="0" applyNumberFormat="1" applyFont="1" applyFill="1" applyBorder="1"/>
    <x:xf numFmtId="201" fontId="10" fillId="0" borderId="0" xfId="0" applyNumberFormat="1" applyFont="1" applyFill="1" applyBorder="1"/>
    <x:xf numFmtId="204" fontId="10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3" fontId="11" fillId="5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204" fontId="10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3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3" fontId="10" fillId="0" borderId="0" xfId="0" applyNumberFormat="1" applyFont="1" applyFill="1" applyBorder="1" applyAlignment="1">
      <x:alignment wrapText="1"/>
    </x:xf>
    <x:xf numFmtId="205" fontId="10" fillId="0" borderId="0" xfId="0" applyNumberFormat="1" applyFont="1" applyFill="1" applyBorder="1"/>
    <x:xf numFmtId="205" fontId="10" fillId="0" borderId="0" xfId="0" applyNumberFormat="1" applyFont="1" applyFill="1" applyBorder="1" applyAlignment="1">
      <x:alignment wrapText="1"/>
    </x:xf>
    <x:xf numFmtId="206" fontId="10" fillId="0" borderId="0" xfId="0" applyNumberFormat="1" applyFont="1" applyFill="1" applyBorder="1"/>
    <x:xf numFmtId="206" fontId="10" fillId="0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203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203" fontId="13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/>
    </x:xf>
    <x:xf numFmtId="0" fontId="12" fillId="5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/>
    </x:xf>
    <x:xf numFmtId="203" fontId="13" fillId="0" borderId="0" xfId="0" applyNumberFormat="1" applyFont="1" applyFill="1" applyBorder="1" applyAlignment="1">
      <x:alignment vertical="top"/>
    </x:xf>
    <x:xf numFmtId="203" fontId="10" fillId="0" borderId="0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200" fontId="9" fillId="5" borderId="0" xfId="0" applyNumberFormat="1" applyFont="1" applyFill="1" applyBorder="1" applyAlignment="1">
      <x:alignment vertical="top" wrapText="1"/>
    </x:xf>
    <x:xf numFmtId="201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202" fontId="9" fillId="5" borderId="0" xfId="0" applyNumberFormat="1" applyFont="1" applyFill="1" applyBorder="1" applyAlignment="1">
      <x:alignment vertical="top" wrapText="1"/>
    </x:xf>
    <x:xf numFmtId="203" fontId="9" fillId="5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3" fontId="11" fillId="5" borderId="0" xfId="0" applyNumberFormat="1" applyFont="1" applyFill="1" applyBorder="1" applyAlignment="1">
      <x:alignment vertical="top" wrapText="1"/>
    </x:xf>
    <x:xf numFmtId="204" fontId="10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205" fontId="10" fillId="0" borderId="0" xfId="0" applyNumberFormat="1" applyFont="1" applyFill="1" applyBorder="1" applyAlignment="1">
      <x:alignment vertical="top" wrapText="1"/>
    </x:xf>
    <x:xf numFmtId="206" fontId="10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203" fontId="13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cfb5462014092" /><Relationship Type="http://schemas.openxmlformats.org/officeDocument/2006/relationships/theme" Target="/xl/theme/theme1.xml" Id="Ra63827e5e4a04b2a" /><Relationship Type="http://schemas.openxmlformats.org/officeDocument/2006/relationships/sharedStrings" Target="/xl/sharedStrings.xml" Id="Ra28a216a31b948c3" /><Relationship Type="http://schemas.openxmlformats.org/officeDocument/2006/relationships/worksheet" Target="/xl/worksheets/sheet1.xml" Id="R2d3a58cc1c8a4c2e" /><Relationship Type="http://schemas.openxmlformats.org/officeDocument/2006/relationships/worksheet" Target="/xl/worksheets/sheet2.xml" Id="R44e1743959d3416b" /><Relationship Type="http://schemas.openxmlformats.org/officeDocument/2006/relationships/worksheet" Target="/xl/worksheets/sheet3.xml" Id="R05ad6030356541e6" /><Relationship Type="http://schemas.openxmlformats.org/officeDocument/2006/relationships/worksheet" Target="/xl/worksheets/sheet4.xml" Id="Rb3dcc788afe74589" /><Relationship Type="http://schemas.openxmlformats.org/officeDocument/2006/relationships/worksheet" Target="/xl/worksheets/sheet5.xml" Id="R4a97f528afcb42fc" /><Relationship Type="http://schemas.openxmlformats.org/officeDocument/2006/relationships/worksheet" Target="/xl/worksheets/sheet6.xml" Id="R14436a38d3a24230" /><Relationship Type="http://schemas.openxmlformats.org/officeDocument/2006/relationships/worksheet" Target="/xl/worksheets/sheet7.xml" Id="Ra5852d0716ec47cb" /><Relationship Type="http://schemas.openxmlformats.org/officeDocument/2006/relationships/worksheet" Target="/xl/worksheets/sheet8.xml" Id="Rca1a471478f14799" /><Relationship Type="http://schemas.openxmlformats.org/officeDocument/2006/relationships/worksheet" Target="/xl/worksheets/sheet9.xml" Id="R47b6fca713d445f2" /><Relationship Type="http://schemas.openxmlformats.org/officeDocument/2006/relationships/worksheet" Target="/xl/worksheets/sheet10.xml" Id="Rbf661df6cd334c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6" hidden="0" customWidth="1"/>
    <x:col min="3" max="3" width="52" hidden="0" customWidth="1"/>
    <x:col min="4" max="4" width="2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6" customHeight="1">
      <x:c r="A1" s="62" t="str">
        <x:v>Model Awal Estimasi NJOP Surabaya 2026</x:v>
      </x:c>
      <x:c r="B1" s="63"/>
      <x:c r="C1" s="63"/>
      <x:c r="D1" s="63"/>
      <x:c r="E1" s="63"/>
      <x:c r="F1" s="63"/>
      <x:c r="G1" s="63"/>
      <x:c r="H1" s="63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Workbook analitis - bukan ketetapan resmi NJOP/SPPT. Nilai kecamatan adalah benchmark awal berbasis harga penawaran publik dan asumsi terbuka.</x:v>
      </x:c>
      <x:c r="B2" s="63"/>
      <x:c r="C2" s="63"/>
      <x:c r="D2" s="63"/>
      <x:c r="E2" s="63"/>
      <x:c r="F2" s="63"/>
      <x:c r="G2" s="63"/>
      <x:c r="H2" s="63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3"/>
      <x:c r="B3" s="63"/>
      <x:c r="C3" s="63"/>
      <x:c r="D3" s="63"/>
      <x:c r="E3" s="63"/>
      <x:c r="F3" s="63"/>
      <x:c r="G3" s="63"/>
      <x:c r="H3" s="63"/>
      <x:c r="I3" s="64"/>
      <x:c r="J3" s="64"/>
      <x:c r="K3" s="64"/>
      <x:c r="L3" s="64"/>
      <x:c r="M3" s="64"/>
      <x:c r="N3" s="64"/>
      <x:c r="O3" s="64"/>
      <x:c r="P3" s="64"/>
      <x:c r="Q3" s="64"/>
    </x:row>
    <x:row r="4" ht="46" customHeight="1">
      <x:c r="A4" s="66" t="str">
        <x:v>PERINGATAN PENGGUNAAN: jangan memakai angka ini untuk penetapan pajak, sengketa, agunan, jual-beli, atau keputusan hukum tanpa data transaksi terverifikasi, ZNT rinci, SPOP/LSPOP, DBKB resmi, dan penilaian pejabat/penilai berwenang.</x:v>
      </x:c>
      <x:c r="B4" s="66"/>
      <x:c r="C4" s="66"/>
      <x:c r="D4" s="66"/>
      <x:c r="E4" s="66"/>
      <x:c r="F4" s="66"/>
      <x:c r="G4" s="66"/>
      <x:c r="H4" s="66"/>
      <x:c r="I4" s="64"/>
      <x:c r="J4" s="64"/>
      <x:c r="K4" s="64"/>
      <x:c r="L4" s="64"/>
      <x:c r="M4" s="64"/>
      <x:c r="N4" s="64"/>
      <x:c r="O4" s="64"/>
      <x:c r="P4" s="64"/>
      <x:c r="Q4" s="64"/>
    </x:row>
    <x:row r="5">
      <x:c r="A5" s="63"/>
      <x:c r="B5" s="63"/>
      <x:c r="C5" s="63"/>
      <x:c r="D5" s="63"/>
      <x:c r="E5" s="63"/>
      <x:c r="F5" s="63"/>
      <x:c r="G5" s="63"/>
      <x:c r="H5" s="63"/>
      <x:c r="I5" s="64"/>
      <x:c r="J5" s="64"/>
      <x:c r="K5" s="64"/>
      <x:c r="L5" s="64"/>
      <x:c r="M5" s="64"/>
      <x:c r="N5" s="64"/>
      <x:c r="O5" s="64"/>
      <x:c r="P5" s="64"/>
      <x:c r="Q5" s="64"/>
    </x:row>
    <x:row r="6" ht="22" customHeight="1">
      <x:c r="A6" s="67" t="str">
        <x:v>Tujuan dan keluaran</x:v>
      </x:c>
      <x:c r="B6" s="67"/>
      <x:c r="C6" s="67"/>
      <x:c r="D6" s="67"/>
      <x:c r="E6" s="67"/>
      <x:c r="F6" s="67"/>
      <x:c r="G6" s="67"/>
      <x:c r="H6" s="67"/>
      <x:c r="I6" s="64"/>
      <x:c r="J6" s="64"/>
      <x:c r="K6" s="64"/>
      <x:c r="L6" s="64"/>
      <x:c r="M6" s="64"/>
      <x:c r="N6" s="64"/>
      <x:c r="O6" s="64"/>
      <x:c r="P6" s="64"/>
      <x:c r="Q6" s="64"/>
    </x:row>
    <x:row r="7">
      <x:c r="A7" s="68" t="str">
        <x:v>Cakupan</x:v>
      </x:c>
      <x:c r="B7" s="63" t="str">
        <x:v>31 kecamatan administratif Kota Surabaya; satu zona awal per kecamatan (terlalu kasar untuk ZNT resmi).</x:v>
      </x:c>
      <x:c r="C7" s="63"/>
      <x:c r="D7" s="63"/>
      <x:c r="E7" s="63"/>
      <x:c r="F7" s="63"/>
      <x:c r="G7" s="63"/>
      <x:c r="H7" s="63"/>
      <x:c r="I7" s="64"/>
      <x:c r="J7" s="64"/>
      <x:c r="K7" s="64"/>
      <x:c r="L7" s="64"/>
      <x:c r="M7" s="64"/>
      <x:c r="N7" s="64"/>
      <x:c r="O7" s="64"/>
      <x:c r="P7" s="64"/>
      <x:c r="Q7" s="64"/>
    </x:row>
    <x:row r="8">
      <x:c r="A8" s="68" t="str">
        <x:v>Keluaran tanah</x:v>
      </x:c>
      <x:c r="B8" s="63" t="str">
        <x:v>NIR dan NJOP bumi proksi per m² dari lima harga penawaran per kecamatan.</x:v>
      </x:c>
      <x:c r="C8" s="63"/>
      <x:c r="D8" s="63"/>
      <x:c r="E8" s="63"/>
      <x:c r="F8" s="63"/>
      <x:c r="G8" s="63"/>
      <x:c r="H8" s="63"/>
      <x:c r="I8" s="64"/>
      <x:c r="J8" s="64"/>
      <x:c r="K8" s="64"/>
      <x:c r="L8" s="64"/>
      <x:c r="M8" s="64"/>
      <x:c r="N8" s="64"/>
      <x:c r="O8" s="64"/>
      <x:c r="P8" s="64"/>
      <x:c r="Q8" s="64"/>
    </x:row>
    <x:row r="9">
      <x:c r="A9" s="68" t="str">
        <x:v>Keluaran objek</x:v>
      </x:c>
      <x:c r="B9" s="63" t="str">
        <x:v>NJOP total untuk satu objek residensial representatif per kecamatan.</x:v>
      </x:c>
      <x:c r="C9" s="63"/>
      <x:c r="D9" s="63"/>
      <x:c r="E9" s="63"/>
      <x:c r="F9" s="63"/>
      <x:c r="G9" s="63"/>
      <x:c r="H9" s="63"/>
      <x:c r="I9" s="64"/>
      <x:c r="J9" s="64"/>
      <x:c r="K9" s="64"/>
      <x:c r="L9" s="64"/>
      <x:c r="M9" s="64"/>
      <x:c r="N9" s="64"/>
      <x:c r="O9" s="64"/>
      <x:c r="P9" s="64"/>
      <x:c r="Q9" s="64"/>
    </x:row>
    <x:row r="10">
      <x:c r="A10" s="68" t="str">
        <x:v>Keluaran pajak</x:v>
      </x:c>
      <x:c r="B10" s="63" t="str">
        <x:v>Skenario PBB-P2 dengan tarif Perda 7/2023 dan DPP 20% sebagai asumsi.</x:v>
      </x:c>
      <x:c r="C10" s="63"/>
      <x:c r="D10" s="63"/>
      <x:c r="E10" s="63"/>
      <x:c r="F10" s="63"/>
      <x:c r="G10" s="63"/>
      <x:c r="H10" s="63"/>
      <x:c r="I10" s="64"/>
      <x:c r="J10" s="64"/>
      <x:c r="K10" s="64"/>
      <x:c r="L10" s="64"/>
      <x:c r="M10" s="64"/>
      <x:c r="N10" s="64"/>
      <x:c r="O10" s="64"/>
      <x:c r="P10" s="64"/>
      <x:c r="Q10" s="64"/>
    </x:row>
    <x:row r="11">
      <x:c r="A11" s="68" t="str">
        <x:v>Tanggal nilai</x:v>
      </x:c>
      <x:c r="B11" s="63" t="str">
        <x:v>1 Januari 2026; proksi diakses 12 September 2026 dan ditarik mundur dengan asumsi tren.</x:v>
      </x:c>
      <x:c r="C11" s="63"/>
      <x:c r="D11" s="63"/>
      <x:c r="E11" s="63"/>
      <x:c r="F11" s="63"/>
      <x:c r="G11" s="63"/>
      <x:c r="H11" s="63"/>
      <x:c r="I11" s="64"/>
      <x:c r="J11" s="64"/>
      <x:c r="K11" s="64"/>
      <x:c r="L11" s="64"/>
      <x:c r="M11" s="64"/>
      <x:c r="N11" s="64"/>
      <x:c r="O11" s="64"/>
      <x:c r="P11" s="64"/>
      <x:c r="Q11" s="64"/>
    </x:row>
    <x:row r="12">
      <x:c r="A12" s="63"/>
      <x:c r="B12" s="63"/>
      <x:c r="C12" s="63"/>
      <x:c r="D12" s="63"/>
      <x:c r="E12" s="63"/>
      <x:c r="F12" s="63"/>
      <x:c r="G12" s="63"/>
      <x:c r="H12" s="63"/>
      <x:c r="I12" s="64"/>
      <x:c r="J12" s="64"/>
      <x:c r="K12" s="64"/>
      <x:c r="L12" s="64"/>
      <x:c r="M12" s="64"/>
      <x:c r="N12" s="64"/>
      <x:c r="O12" s="64"/>
      <x:c r="P12" s="64"/>
      <x:c r="Q12" s="64"/>
    </x:row>
    <x:row r="13" ht="22" customHeight="1">
      <x:c r="A13" s="67" t="str">
        <x:v>Alur perhitungan yang dapat diaudit</x:v>
      </x:c>
      <x:c r="B13" s="67"/>
      <x:c r="C13" s="67"/>
      <x:c r="D13" s="67"/>
      <x:c r="E13" s="67"/>
      <x:c r="F13" s="67"/>
      <x:c r="G13" s="67"/>
      <x:c r="H13" s="67"/>
      <x:c r="I13" s="64"/>
      <x:c r="J13" s="64"/>
      <x:c r="K13" s="64"/>
      <x:c r="L13" s="64"/>
      <x:c r="M13" s="64"/>
      <x:c r="N13" s="64"/>
      <x:c r="O13" s="64"/>
      <x:c r="P13" s="64"/>
      <x:c r="Q13" s="64"/>
    </x:row>
    <x:row r="14" ht="32" customHeight="1">
      <x:c r="A14" s="69" t="str">
        <x:v>Tahap</x:v>
      </x:c>
      <x:c r="B14" s="69" t="str">
        <x:v>Sheet</x:v>
      </x:c>
      <x:c r="C14" s="69" t="str">
        <x:v>Proses</x:v>
      </x:c>
      <x:c r="D14" s="69" t="str">
        <x:v>Keluaran</x:v>
      </x:c>
      <x:c r="E14" s="63"/>
      <x:c r="F14" s="63"/>
      <x:c r="G14" s="63"/>
      <x:c r="H14" s="63"/>
      <x:c r="I14" s="64"/>
      <x:c r="J14" s="64"/>
      <x:c r="K14" s="64"/>
      <x:c r="L14" s="64"/>
      <x:c r="M14" s="64"/>
      <x:c r="N14" s="64"/>
      <x:c r="O14" s="64"/>
      <x:c r="P14" s="64"/>
      <x:c r="Q14" s="64"/>
    </x:row>
    <x:row r="15">
      <x:c r="A15" s="63" t="n">
        <x:v>1</x:v>
      </x:c>
      <x:c r="B15" s="63" t="str">
        <x:v>Data_Minimum</x:v>
      </x:c>
      <x:c r="C15" s="63" t="str">
        <x:v>Inventaris data wajib, sumber, kekosongan, dan tindak lanjut</x:v>
      </x:c>
      <x:c r="D15" s="63" t="str">
        <x:v>Matriks kelengkapan</x:v>
      </x:c>
      <x:c r="E15" s="63"/>
      <x:c r="F15" s="63"/>
      <x:c r="G15" s="63"/>
      <x:c r="H15" s="63"/>
      <x:c r="I15" s="64"/>
      <x:c r="J15" s="64"/>
      <x:c r="K15" s="64"/>
      <x:c r="L15" s="64"/>
      <x:c r="M15" s="64"/>
      <x:c r="N15" s="64"/>
      <x:c r="O15" s="64"/>
      <x:c r="P15" s="64"/>
      <x:c r="Q15" s="64"/>
    </x:row>
    <x:row r="16">
      <x:c r="A16" s="63" t="n">
        <x:v>2</x:v>
      </x:c>
      <x:c r="B16" s="63" t="str">
        <x:v>Asumsi</x:v>
      </x:c>
      <x:c r="C16" s="63" t="str">
        <x:v>Parameter pengguna yang menggantikan data belum publik</x:v>
      </x:c>
      <x:c r="D16" s="63" t="str">
        <x:v>Input terkontrol</x:v>
      </x:c>
      <x:c r="E16" s="63"/>
      <x:c r="F16" s="63"/>
      <x:c r="G16" s="63"/>
      <x:c r="H16" s="63"/>
      <x:c r="I16" s="64"/>
      <x:c r="J16" s="64"/>
      <x:c r="K16" s="64"/>
      <x:c r="L16" s="64"/>
      <x:c r="M16" s="64"/>
      <x:c r="N16" s="64"/>
      <x:c r="O16" s="64"/>
      <x:c r="P16" s="64"/>
      <x:c r="Q16" s="64"/>
    </x:row>
    <x:row r="17">
      <x:c r="A17" s="63" t="n">
        <x:v>3</x:v>
      </x:c>
      <x:c r="B17" s="63" t="str">
        <x:v>Sampel_Harga</x:v>
      </x:c>
      <x:c r="C17" s="63" t="str">
        <x:v>Harga tawar -&gt; filter outlier -&gt; koreksi penawaran, waktu, dan hak</x:v>
      </x:c>
      <x:c r="D17" s="63" t="str">
        <x:v>Nilai pasar terkoreksi/m²</x:v>
      </x:c>
      <x:c r="E17" s="63"/>
      <x:c r="F17" s="63"/>
      <x:c r="G17" s="63"/>
      <x:c r="H17" s="63"/>
      <x:c r="I17" s="64"/>
      <x:c r="J17" s="64"/>
      <x:c r="K17" s="64"/>
      <x:c r="L17" s="64"/>
      <x:c r="M17" s="64"/>
      <x:c r="N17" s="64"/>
      <x:c r="O17" s="64"/>
      <x:c r="P17" s="64"/>
      <x:c r="Q17" s="64"/>
    </x:row>
    <x:row r="18">
      <x:c r="A18" s="63" t="n">
        <x:v>4</x:v>
      </x:c>
      <x:c r="B18" s="63" t="str">
        <x:v>NIR_ZNT</x:v>
      </x:c>
      <x:c r="C18" s="63" t="str">
        <x:v>Rata-rata/median, standar deviasi, CV, dan pembulatan kelas sementara</x:v>
      </x:c>
      <x:c r="D18" s="63" t="str">
        <x:v>NIR/NJOP bumi proksi</x:v>
      </x:c>
      <x:c r="E18" s="63"/>
      <x:c r="F18" s="63"/>
      <x:c r="G18" s="63"/>
      <x:c r="H18" s="63"/>
      <x:c r="I18" s="64"/>
      <x:c r="J18" s="64"/>
      <x:c r="K18" s="64"/>
      <x:c r="L18" s="64"/>
      <x:c r="M18" s="64"/>
      <x:c r="N18" s="64"/>
      <x:c r="O18" s="64"/>
      <x:c r="P18" s="64"/>
      <x:c r="Q18" s="64"/>
    </x:row>
    <x:row r="19">
      <x:c r="A19" s="63" t="n">
        <x:v>5</x:v>
      </x:c>
      <x:c r="B19" s="63" t="str">
        <x:v>Objek_Representatif</x:v>
      </x:c>
      <x:c r="C19" s="63" t="str">
        <x:v>Luas x NJOP bumi + luas bangunan x DBKB tersusut</x:v>
      </x:c>
      <x:c r="D19" s="63" t="str">
        <x:v>NJOP total objek</x:v>
      </x:c>
      <x:c r="E19" s="63"/>
      <x:c r="F19" s="63"/>
      <x:c r="G19" s="63"/>
      <x:c r="H19" s="63"/>
      <x:c r="I19" s="64"/>
      <x:c r="J19" s="64"/>
      <x:c r="K19" s="64"/>
      <x:c r="L19" s="64"/>
      <x:c r="M19" s="64"/>
      <x:c r="N19" s="64"/>
      <x:c r="O19" s="64"/>
      <x:c r="P19" s="64"/>
      <x:c r="Q19" s="64"/>
    </x:row>
    <x:row r="20">
      <x:c r="A20" s="63" t="n">
        <x:v>6</x:v>
      </x:c>
      <x:c r="B20" s="63" t="str">
        <x:v>PBB_P2</x:v>
      </x:c>
      <x:c r="C20" s="63" t="str">
        <x:v>(NJOP - NJOPTKP) x DPP% x tarif</x:v>
      </x:c>
      <x:c r="D20" s="63" t="str">
        <x:v>PBB skenario</x:v>
      </x:c>
      <x:c r="E20" s="63"/>
      <x:c r="F20" s="63"/>
      <x:c r="G20" s="63"/>
      <x:c r="H20" s="63"/>
      <x:c r="I20" s="64"/>
      <x:c r="J20" s="64"/>
      <x:c r="K20" s="64"/>
      <x:c r="L20" s="64"/>
      <x:c r="M20" s="64"/>
      <x:c r="N20" s="64"/>
      <x:c r="O20" s="64"/>
      <x:c r="P20" s="64"/>
      <x:c r="Q20" s="64"/>
    </x:row>
    <x:row r="21">
      <x:c r="A21" s="63" t="n">
        <x:v>7</x:v>
      </x:c>
      <x:c r="B21" s="63" t="str">
        <x:v>Audit</x:v>
      </x:c>
      <x:c r="C21" s="63" t="str">
        <x:v>Uji jumlah sampel, formula, kualitas, dan kelengkapan</x:v>
      </x:c>
      <x:c r="D21" s="63" t="str">
        <x:v>Status kontrol</x:v>
      </x:c>
      <x:c r="E21" s="63"/>
      <x:c r="F21" s="63"/>
      <x:c r="G21" s="63"/>
      <x:c r="H21" s="63"/>
      <x:c r="I21" s="64"/>
      <x:c r="J21" s="64"/>
      <x:c r="K21" s="64"/>
      <x:c r="L21" s="64"/>
      <x:c r="M21" s="64"/>
      <x:c r="N21" s="64"/>
      <x:c r="O21" s="64"/>
      <x:c r="P21" s="64"/>
      <x:c r="Q21" s="64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4"/>
      <x:c r="J22" s="64"/>
      <x:c r="K22" s="64"/>
      <x:c r="L22" s="64"/>
      <x:c r="M22" s="64"/>
      <x:c r="N22" s="64"/>
      <x:c r="O22" s="64"/>
      <x:c r="P22" s="64"/>
      <x:c r="Q22" s="64"/>
    </x:row>
    <x:row r="23" ht="22" customHeight="1">
      <x:c r="A23" s="67" t="str">
        <x:v>Aturan membaca status data</x:v>
      </x:c>
      <x:c r="B23" s="67"/>
      <x:c r="C23" s="67"/>
      <x:c r="D23" s="67"/>
      <x:c r="E23" s="67"/>
      <x:c r="F23" s="67"/>
      <x:c r="G23" s="67"/>
      <x:c r="H23" s="67"/>
      <x:c r="I23" s="64"/>
      <x:c r="J23" s="64"/>
      <x:c r="K23" s="64"/>
      <x:c r="L23" s="64"/>
      <x:c r="M23" s="64"/>
      <x:c r="N23" s="64"/>
      <x:c r="O23" s="64"/>
      <x:c r="P23" s="64"/>
      <x:c r="Q23" s="64"/>
    </x:row>
    <x:row r="24" ht="32" customHeight="1">
      <x:c r="A24" s="69" t="str">
        <x:v>Status</x:v>
      </x:c>
      <x:c r="B24" s="69" t="str">
        <x:v>Makna</x:v>
      </x:c>
      <x:c r="C24" s="69" t="str">
        <x:v>Perlakuan</x:v>
      </x:c>
      <x:c r="D24" s="63"/>
      <x:c r="E24" s="63"/>
      <x:c r="F24" s="63"/>
      <x:c r="G24" s="63"/>
      <x:c r="H24" s="63"/>
      <x:c r="I24" s="64"/>
      <x:c r="J24" s="64"/>
      <x:c r="K24" s="64"/>
      <x:c r="L24" s="64"/>
      <x:c r="M24" s="64"/>
      <x:c r="N24" s="64"/>
      <x:c r="O24" s="64"/>
      <x:c r="P24" s="64"/>
      <x:c r="Q24" s="64"/>
    </x:row>
    <x:row r="25">
      <x:c r="A25" s="70" t="str">
        <x:v>RESMI</x:v>
      </x:c>
      <x:c r="B25" s="63" t="str">
        <x:v>Regulasi atau data pemerintah</x:v>
      </x:c>
      <x:c r="C25" s="63" t="str">
        <x:v>Dipakai sebagai aturan/cakupan; tetap cek versi terbaru.</x:v>
      </x:c>
      <x:c r="D25" s="63"/>
      <x:c r="E25" s="63"/>
      <x:c r="F25" s="63"/>
      <x:c r="G25" s="63"/>
      <x:c r="H25" s="63"/>
      <x:c r="I25" s="64"/>
      <x:c r="J25" s="64"/>
      <x:c r="K25" s="64"/>
      <x:c r="L25" s="64"/>
      <x:c r="M25" s="64"/>
      <x:c r="N25" s="64"/>
      <x:c r="O25" s="64"/>
      <x:c r="P25" s="64"/>
      <x:c r="Q25" s="64"/>
    </x:row>
    <x:row r="26">
      <x:c r="A26" s="70" t="str">
        <x:v>PROKSI IKLAN</x:v>
      </x:c>
      <x:c r="B26" s="63" t="str">
        <x:v>Harga penawaran publik, bukan transaksi</x:v>
      </x:c>
      <x:c r="C26" s="63" t="str">
        <x:v>Dikoreksi dan diuji; tidak setara bukti harga pasar wajar.</x:v>
      </x:c>
      <x:c r="D26" s="63"/>
      <x:c r="E26" s="63"/>
      <x:c r="F26" s="63"/>
      <x:c r="G26" s="63"/>
      <x:c r="H26" s="63"/>
      <x:c r="I26" s="64"/>
      <x:c r="J26" s="64"/>
      <x:c r="K26" s="64"/>
      <x:c r="L26" s="64"/>
      <x:c r="M26" s="64"/>
      <x:c r="N26" s="64"/>
      <x:c r="O26" s="64"/>
      <x:c r="P26" s="64"/>
      <x:c r="Q26" s="64"/>
    </x:row>
    <x:row r="27">
      <x:c r="A27" s="70" t="str">
        <x:v>ASUMSI</x:v>
      </x:c>
      <x:c r="B27" s="63" t="str">
        <x:v>Belum ada data publik minimum</x:v>
      </x:c>
      <x:c r="C27" s="63" t="str">
        <x:v>Sel berwarna kuning dan font biru; wajib diganti bila data resmi tersedia.</x:v>
      </x:c>
      <x:c r="D27" s="63"/>
      <x:c r="E27" s="63"/>
      <x:c r="F27" s="63"/>
      <x:c r="G27" s="63"/>
      <x:c r="H27" s="63"/>
      <x:c r="I27" s="64"/>
      <x:c r="J27" s="64"/>
      <x:c r="K27" s="64"/>
      <x:c r="L27" s="64"/>
      <x:c r="M27" s="64"/>
      <x:c r="N27" s="64"/>
      <x:c r="O27" s="64"/>
      <x:c r="P27" s="64"/>
      <x:c r="Q27" s="64"/>
    </x:row>
    <x:row r="28">
      <x:c r="A28" s="63"/>
      <x:c r="B28" s="63"/>
      <x:c r="C28" s="63"/>
      <x:c r="D28" s="63"/>
      <x:c r="E28" s="63"/>
      <x:c r="F28" s="63"/>
      <x:c r="G28" s="63"/>
      <x:c r="H28" s="63"/>
      <x:c r="I28" s="64"/>
      <x:c r="J28" s="64"/>
      <x:c r="K28" s="64"/>
      <x:c r="L28" s="64"/>
      <x:c r="M28" s="64"/>
      <x:c r="N28" s="64"/>
      <x:c r="O28" s="64"/>
      <x:c r="P28" s="64"/>
      <x:c r="Q28" s="64"/>
    </x:row>
    <x:row r="29" ht="22" customHeight="1">
      <x:c r="A29" s="67" t="str">
        <x:v>Cara meningkatkan model menjadi layak penilaian</x:v>
      </x:c>
      <x:c r="B29" s="67"/>
      <x:c r="C29" s="67"/>
      <x:c r="D29" s="67"/>
      <x:c r="E29" s="67"/>
      <x:c r="F29" s="67"/>
      <x:c r="G29" s="67"/>
      <x:c r="H29" s="67"/>
      <x:c r="I29" s="64"/>
      <x:c r="J29" s="64"/>
      <x:c r="K29" s="64"/>
      <x:c r="L29" s="64"/>
      <x:c r="M29" s="64"/>
      <x:c r="N29" s="64"/>
      <x:c r="O29" s="64"/>
      <x:c r="P29" s="64"/>
      <x:c r="Q29" s="64"/>
    </x:row>
    <x:row r="30">
      <x:c r="A30" s="63" t="n">
        <x:v>1</x:v>
      </x:c>
      <x:c r="B30" s="63" t="str">
        <x:v>Ganti harga penawaran dengan transaksi BPHTB/akta yang sudah dianonimkan dan tervalidasi.</x:v>
      </x:c>
      <x:c r="C30" s="63"/>
      <x:c r="D30" s="63"/>
      <x:c r="E30" s="63"/>
      <x:c r="F30" s="63"/>
      <x:c r="G30" s="63"/>
      <x:c r="H30" s="63"/>
      <x:c r="I30" s="64"/>
      <x:c r="J30" s="64"/>
      <x:c r="K30" s="64"/>
      <x:c r="L30" s="64"/>
      <x:c r="M30" s="64"/>
      <x:c r="N30" s="64"/>
      <x:c r="O30" s="64"/>
      <x:c r="P30" s="64"/>
      <x:c r="Q30" s="64"/>
    </x:row>
    <x:row r="31">
      <x:c r="A31" s="63" t="n">
        <x:v>2</x:v>
      </x:c>
      <x:c r="B31" s="63" t="str">
        <x:v>Pisahkan tiap kecamatan menjadi ZNT homogen menurut jalan, peruntukan, akses, banjir, dan karakter lingkungan.</x:v>
      </x:c>
      <x:c r="C31" s="63"/>
      <x:c r="D31" s="63"/>
      <x:c r="E31" s="63"/>
      <x:c r="F31" s="63"/>
      <x:c r="G31" s="63"/>
      <x:c r="H31" s="63"/>
      <x:c r="I31" s="64"/>
      <x:c r="J31" s="64"/>
      <x:c r="K31" s="64"/>
      <x:c r="L31" s="64"/>
      <x:c r="M31" s="64"/>
      <x:c r="N31" s="64"/>
      <x:c r="O31" s="64"/>
      <x:c r="P31" s="64"/>
      <x:c r="Q31" s="64"/>
    </x:row>
    <x:row r="32">
      <x:c r="A32" s="63" t="n">
        <x:v>3</x:v>
      </x:c>
      <x:c r="B32" s="63" t="str">
        <x:v>Tambahkan koordinat bidang, luas, jenis hak, tanggal transaksi, dan nilai bangunan terpisah.</x:v>
      </x:c>
      <x:c r="C32" s="63"/>
      <x:c r="D32" s="63"/>
      <x:c r="E32" s="63"/>
      <x:c r="F32" s="63"/>
      <x:c r="G32" s="63"/>
      <x:c r="H32" s="63"/>
      <x:c r="I32" s="64"/>
      <x:c r="J32" s="64"/>
      <x:c r="K32" s="64"/>
      <x:c r="L32" s="64"/>
      <x:c r="M32" s="64"/>
      <x:c r="N32" s="64"/>
      <x:c r="O32" s="64"/>
      <x:c r="P32" s="64"/>
      <x:c r="Q32" s="64"/>
    </x:row>
    <x:row r="33">
      <x:c r="A33" s="63" t="n">
        <x:v>4</x:v>
      </x:c>
      <x:c r="B33" s="63" t="str">
        <x:v>Masukkan klasifikasi NJOP bumi dan DBKB/JPB resmi Surabaya yang berlaku pada tahun pajak.</x:v>
      </x:c>
      <x:c r="C33" s="63"/>
      <x:c r="D33" s="63"/>
      <x:c r="E33" s="63"/>
      <x:c r="F33" s="63"/>
      <x:c r="G33" s="63"/>
      <x:c r="H33" s="63"/>
      <x:c r="I33" s="64"/>
      <x:c r="J33" s="64"/>
      <x:c r="K33" s="64"/>
      <x:c r="L33" s="64"/>
      <x:c r="M33" s="64"/>
      <x:c r="N33" s="64"/>
      <x:c r="O33" s="64"/>
      <x:c r="P33" s="64"/>
      <x:c r="Q33" s="64"/>
    </x:row>
    <x:row r="34">
      <x:c r="A34" s="63" t="n">
        <x:v>5</x:v>
      </x:c>
      <x:c r="B34" s="63" t="str">
        <x:v>Lakukan uji rasio NJOP terhadap harga pasar (level, COD, PRD) dan survei ulang zona dengan CV &gt;30%.</x:v>
      </x:c>
      <x:c r="C34" s="63"/>
      <x:c r="D34" s="63"/>
      <x:c r="E34" s="63"/>
      <x:c r="F34" s="63"/>
      <x:c r="G34" s="63"/>
      <x:c r="H34" s="63"/>
      <x:c r="I34" s="64"/>
      <x:c r="J34" s="64"/>
      <x:c r="K34" s="64"/>
      <x:c r="L34" s="64"/>
      <x:c r="M34" s="64"/>
      <x:c r="N34" s="64"/>
      <x:c r="O34" s="64"/>
      <x:c r="P34" s="64"/>
      <x:c r="Q34" s="64"/>
    </x:row>
    <x:row r="35">
      <x:c r="A35" s="63" t="n">
        <x:v>6</x:v>
      </x:c>
      <x:c r="B35" s="63" t="str">
        <x:v>Minta validasi Bapenda/pejabat penilai; NJOP resmi hanya lahir dari penetapan berwenang.</x:v>
      </x:c>
      <x:c r="C35" s="63"/>
      <x:c r="D35" s="63"/>
      <x:c r="E35" s="63"/>
      <x:c r="F35" s="63"/>
      <x:c r="G35" s="63"/>
      <x:c r="H35" s="63"/>
      <x:c r="I35" s="64"/>
      <x:c r="J35" s="64"/>
      <x:c r="K35" s="64"/>
      <x:c r="L35" s="64"/>
      <x:c r="M35" s="64"/>
      <x:c r="N35" s="64"/>
      <x:c r="O35" s="64"/>
      <x:c r="P35" s="64"/>
      <x:c r="Q35" s="64"/>
    </x:row>
    <x:row r="36">
      <x:c r="A36" s="63"/>
      <x:c r="B36" s="63"/>
      <x:c r="C36" s="63"/>
      <x:c r="D36" s="63"/>
      <x:c r="E36" s="63"/>
      <x:c r="F36" s="63"/>
      <x:c r="G36" s="63"/>
      <x:c r="H36" s="63"/>
      <x:c r="I36" s="64"/>
      <x:c r="J36" s="64"/>
      <x:c r="K36" s="64"/>
      <x:c r="L36" s="64"/>
      <x:c r="M36" s="64"/>
      <x:c r="N36" s="64"/>
      <x:c r="O36" s="64"/>
      <x:c r="P36" s="64"/>
      <x:c r="Q36" s="64"/>
    </x:row>
    <x:row r="37">
      <x:c r="A37" s="63"/>
      <x:c r="B37" s="63"/>
      <x:c r="C37" s="63"/>
      <x:c r="D37" s="63"/>
      <x:c r="E37" s="63"/>
      <x:c r="F37" s="63"/>
      <x:c r="G37" s="63"/>
      <x:c r="H37" s="63"/>
      <x:c r="I37" s="64"/>
      <x:c r="J37" s="64"/>
      <x:c r="K37" s="64"/>
      <x:c r="L37" s="64"/>
      <x:c r="M37" s="64"/>
      <x:c r="N37" s="64"/>
      <x:c r="O37" s="64"/>
      <x:c r="P37" s="64"/>
      <x:c r="Q37" s="64"/>
    </x:row>
    <x:row r="38">
      <x:c r="A38" s="63"/>
      <x:c r="B38" s="63"/>
      <x:c r="C38" s="63"/>
      <x:c r="D38" s="63"/>
      <x:c r="E38" s="63"/>
      <x:c r="F38" s="63"/>
      <x:c r="G38" s="63"/>
      <x:c r="H38" s="63"/>
      <x:c r="I38" s="64"/>
      <x:c r="J38" s="64"/>
      <x:c r="K38" s="64"/>
      <x:c r="L38" s="64"/>
      <x:c r="M38" s="64"/>
      <x:c r="N38" s="64"/>
      <x:c r="O38" s="64"/>
      <x:c r="P38" s="64"/>
      <x:c r="Q38" s="64"/>
    </x:row>
    <x:row r="39">
      <x:c r="A39" s="63"/>
      <x:c r="B39" s="63"/>
      <x:c r="C39" s="63"/>
      <x:c r="D39" s="63"/>
      <x:c r="E39" s="63"/>
      <x:c r="F39" s="63"/>
      <x:c r="G39" s="63"/>
      <x:c r="H39" s="63"/>
      <x:c r="I39" s="64"/>
      <x:c r="J39" s="64"/>
      <x:c r="K39" s="64"/>
      <x:c r="L39" s="64"/>
      <x:c r="M39" s="64"/>
      <x:c r="N39" s="64"/>
      <x:c r="O39" s="64"/>
      <x:c r="P39" s="64"/>
      <x:c r="Q39" s="64"/>
    </x:row>
    <x:row r="40">
      <x:c r="A40" s="63"/>
      <x:c r="B40" s="63"/>
      <x:c r="C40" s="63"/>
      <x:c r="D40" s="63"/>
      <x:c r="E40" s="63"/>
      <x:c r="F40" s="63"/>
      <x:c r="G40" s="63"/>
      <x:c r="H40" s="63"/>
      <x:c r="I40" s="64"/>
      <x:c r="J40" s="64"/>
      <x:c r="K40" s="64"/>
      <x:c r="L40" s="64"/>
      <x:c r="M40" s="64"/>
      <x:c r="N40" s="64"/>
      <x:c r="O40" s="64"/>
      <x:c r="P40" s="64"/>
      <x:c r="Q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H1"/>
    <x:mergeCell ref="A2:H2"/>
    <x:mergeCell ref="A4:H4"/>
    <x:mergeCell ref="A6:H6"/>
    <x:mergeCell ref="A13:H13"/>
    <x:mergeCell ref="A23:H23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3" topLeftCell="C14" activePane="bottomRigh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3" hidden="0" customWidth="1"/>
    <x:col min="5" max="5" width="12" hidden="0" customWidth="1"/>
    <x:col min="6" max="6" width="31" hidden="0" customWidth="1"/>
    <x:col min="7" max="7" width="28" hidden="0" customWidth="1"/>
    <x:col min="8" max="8" width="22" hidden="0" customWidth="1"/>
    <x:col min="9" max="9" width="18" hidden="0" customWidth="1"/>
    <x:col min="10" max="10" width="48" hidden="0" customWidth="1"/>
  </x:cols>
  <x:sheetData>
    <x:row r="1" ht="26" customHeight="1">
      <x:c r="A1" s="71" t="str">
        <x:v>Ringkasan Estimasi Awal NJOP Surabaya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Benchmark kecamatan untuk penentuan prioritas survei; bukan nilai resmi bidang atau peta ZNT final.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 ht="34" customHeight="1">
      <x:c r="A4" s="72" t="str">
        <x:v>KUNCI: hasil paling berguna adalah perbandingan relatif antar-kecamatan dan daftar zona dengan CV tinggi. Nominal akan berubah ketika asumsi, transaksi, DBKB, atau kelas NJOP resmi diganti.</x:v>
      </x:c>
      <x:c r="B4" s="72"/>
      <x:c r="C4" s="72"/>
      <x:c r="D4" s="72"/>
      <x:c r="E4" s="72"/>
      <x:c r="F4" s="72"/>
      <x:c r="G4" s="72"/>
      <x:c r="H4" s="72"/>
      <x:c r="I4" s="72"/>
      <x:c r="J4" s="72"/>
      <x:c r="K4" s="64"/>
      <x:c r="L4" s="64"/>
      <x:c r="M4" s="64"/>
      <x:c r="N4" s="64"/>
      <x:c r="O4" s="64"/>
      <x:c r="P4" s="64"/>
      <x:c r="Q4" s="64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</x:row>
    <x:row r="6" ht="32" customHeight="1">
      <x:c r="A6" s="69" t="str">
        <x:v>Metrik</x:v>
      </x:c>
      <x:c r="B6" s="69" t="str">
        <x:v>Nilai</x:v>
      </x:c>
      <x:c r="C6" s="64"/>
      <x:c r="D6" s="64"/>
      <x:c r="E6" s="64"/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</x:row>
    <x:row r="7">
      <x:c r="A7" s="64" t="str">
        <x:v>Kecamatan tercakup</x:v>
      </x:c>
      <x:c r="B7" s="73" t="n">
        <x:f>COUNTA(NIR_ZNT!A7:A37)</x:f>
        <x:v>31</x:v>
      </x:c>
      <x:c r="C7" s="64"/>
      <x:c r="D7" s="64"/>
      <x:c r="E7" s="64"/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</x:row>
    <x:row r="8">
      <x:c r="A8" s="64" t="str">
        <x:v>Observasi harga penawaran</x:v>
      </x:c>
      <x:c r="B8" s="73" t="n">
        <x:f>COUNTA(Sampel_Harga!F7:F161)</x:f>
        <x:v>155</x:v>
      </x:c>
      <x:c r="C8" s="64"/>
      <x:c r="D8" s="64"/>
      <x:c r="E8" s="64"/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</x:row>
    <x:row r="9">
      <x:c r="A9" s="64" t="str">
        <x:v>Zona lulus CV &lt;=30%</x:v>
      </x:c>
      <x:c r="B9" s="73" t="n">
        <x:f>COUNTIF(NIR_ZNT!M7:M37,"LOLOS - PROKSIONAL")</x:f>
        <x:v>20</x:v>
      </x:c>
      <x:c r="C9" s="64"/>
      <x:c r="D9" s="64"/>
      <x:c r="E9" s="64"/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</x:row>
    <x:row r="10">
      <x:c r="A10" s="64" t="str">
        <x:v>Median NJOP bumi proksi</x:v>
      </x:c>
      <x:c r="B10" s="74" t="n">
        <x:f>MEDIAN(NIR_ZNT!L7:L37)</x:f>
        <x:v>8700000</x:v>
      </x:c>
      <x:c r="C10" s="64"/>
      <x:c r="D10" s="64"/>
      <x:c r="E10" s="64"/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</x:row>
    <x:row r="11">
      <x:c r="A11" s="64" t="str">
        <x:v>Median PBB objek representatif</x:v>
      </x:c>
      <x:c r="B11" s="74" t="n">
        <x:f>MEDIAN(PBB_P2!H7:H37)</x:f>
        <x:v>404700</x:v>
      </x:c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</x:row>
    <x:row r="13" ht="32" customHeight="1">
      <x:c r="A13" s="69" t="str">
        <x:v>No</x:v>
      </x:c>
      <x:c r="B13" s="69" t="str">
        <x:v>Kecamatan</x:v>
      </x:c>
      <x:c r="C13" s="69" t="str">
        <x:v>NIR_Aktif</x:v>
      </x:c>
      <x:c r="D13" s="69" t="str">
        <x:v>NJOP_Bumi_Rp_m2</x:v>
      </x:c>
      <x:c r="E13" s="69" t="str">
        <x:v>CV</x:v>
      </x:c>
      <x:c r="F13" s="69" t="str">
        <x:v>QA_Zona</x:v>
      </x:c>
      <x:c r="G13" s="69" t="str">
        <x:v>NJOP_Objek_Representatif</x:v>
      </x:c>
      <x:c r="H13" s="69" t="str">
        <x:v>PBB_Skenario</x:v>
      </x:c>
      <x:c r="I13" s="69" t="str">
        <x:v>Basis</x:v>
      </x:c>
      <x:c r="J13" s="69" t="str">
        <x:v>Sumber_Proksi</x:v>
      </x:c>
      <x:c r="K13" s="64"/>
      <x:c r="L13" s="64"/>
      <x:c r="M13" s="64"/>
      <x:c r="N13" s="64"/>
      <x:c r="O13" s="64"/>
      <x:c r="P13" s="64"/>
      <x:c r="Q13" s="64"/>
    </x:row>
    <x:row r="14">
      <x:c r="A14" s="63" t="n">
        <x:v>1</x:v>
      </x:c>
      <x:c r="B14" s="63" t="str">
        <x:v>Asemrowo</x:v>
      </x:c>
      <x:c r="C14" s="75" t="n">
        <x:f>NIR_ZNT!K7</x:f>
        <x:v>4784866.900254132</x:v>
      </x:c>
      <x:c r="D14" s="75" t="n">
        <x:f>NIR_ZNT!L7</x:f>
        <x:v>4800000</x:v>
      </x:c>
      <x:c r="E14" s="76" t="n">
        <x:f>NIR_ZNT!H7</x:f>
        <x:v>0.48014328101729903</x:v>
      </x:c>
      <x:c r="F14" s="70" t="str">
        <x:f>NIR_ZNT!M7</x:f>
        <x:v>PERLU PECAH ZNT - CV TINGGI</x:v>
      </x:c>
      <x:c r="G14" s="75" t="n">
        <x:f>Objek_Representatif!J7</x:f>
        <x:v>896000000</x:v>
      </x:c>
      <x:c r="H14" s="75" t="n">
        <x:f>PBB_P2!H7</x:f>
        <x:v>176200</x:v>
      </x:c>
      <x:c r="I14" s="63" t="str">
        <x:f>NIR_ZNT!N7</x:f>
        <x:v>PROKSI IKLAN</x:v>
      </x:c>
      <x:c r="J14" s="63" t="str">
        <x:v>https://www.rumah123.com/jual/surabaya/asemrowo/tanah/</x:v>
      </x:c>
      <x:c r="K14" s="64"/>
      <x:c r="L14" s="64"/>
      <x:c r="M14" s="64"/>
      <x:c r="N14" s="64"/>
      <x:c r="O14" s="64"/>
      <x:c r="P14" s="64"/>
      <x:c r="Q14" s="64"/>
    </x:row>
    <x:row r="15">
      <x:c r="A15" s="63" t="n">
        <x:v>2</x:v>
      </x:c>
      <x:c r="B15" s="63" t="str">
        <x:v>Benowo</x:v>
      </x:c>
      <x:c r="C15" s="75" t="n">
        <x:f>NIR_ZNT!K8</x:f>
        <x:v>4784866.900254132</x:v>
      </x:c>
      <x:c r="D15" s="75" t="n">
        <x:f>NIR_ZNT!L8</x:f>
        <x:v>4800000</x:v>
      </x:c>
      <x:c r="E15" s="76" t="n">
        <x:f>NIR_ZNT!H8</x:f>
        <x:v>0.5214895714603021</x:v>
      </x:c>
      <x:c r="F15" s="70" t="str">
        <x:f>NIR_ZNT!M8</x:f>
        <x:v>PERLU PECAH ZNT - CV TINGGI</x:v>
      </x:c>
      <x:c r="G15" s="75" t="n">
        <x:f>Objek_Representatif!J8</x:f>
        <x:v>896000000</x:v>
      </x:c>
      <x:c r="H15" s="75" t="n">
        <x:f>PBB_P2!H8</x:f>
        <x:v>176200</x:v>
      </x:c>
      <x:c r="I15" s="63" t="str">
        <x:f>NIR_ZNT!N8</x:f>
        <x:v>PROKSI IKLAN</x:v>
      </x:c>
      <x:c r="J15" s="63" t="str">
        <x:v>https://www.rumah123.com/jual/surabaya/benowo/tanah/</x:v>
      </x:c>
      <x:c r="K15" s="64"/>
      <x:c r="L15" s="64"/>
      <x:c r="M15" s="64"/>
      <x:c r="N15" s="64"/>
      <x:c r="O15" s="64"/>
      <x:c r="P15" s="64"/>
      <x:c r="Q15" s="64"/>
    </x:row>
    <x:row r="16">
      <x:c r="A16" s="63" t="n">
        <x:v>3</x:v>
      </x:c>
      <x:c r="B16" s="63" t="str">
        <x:v>Bubutan</x:v>
      </x:c>
      <x:c r="C16" s="75" t="n">
        <x:f>NIR_ZNT!K9</x:f>
        <x:v>18269491.800970323</x:v>
      </x:c>
      <x:c r="D16" s="75" t="n">
        <x:f>NIR_ZNT!L9</x:f>
        <x:v>18300000</x:v>
      </x:c>
      <x:c r="E16" s="76" t="n">
        <x:f>NIR_ZNT!H9</x:f>
        <x:v>0.2474719155173149</x:v>
      </x:c>
      <x:c r="F16" s="70" t="str">
        <x:f>NIR_ZNT!M9</x:f>
        <x:v>LOLOS - PROKSIONAL</x:v>
      </x:c>
      <x:c r="G16" s="75" t="n">
        <x:f>Objek_Representatif!J9</x:f>
        <x:v>2516000000</x:v>
      </x:c>
      <x:c r="H16" s="75" t="n">
        <x:f>PBB_P2!H9</x:f>
        <x:v>1000400</x:v>
      </x:c>
      <x:c r="I16" s="63" t="str">
        <x:f>NIR_ZNT!N9</x:f>
        <x:v>PROKSI IKLAN</x:v>
      </x:c>
      <x:c r="J16" s="63" t="str">
        <x:v>https://www.rumah123.com/jual/surabaya/bubutan/tanah/</x:v>
      </x:c>
      <x:c r="K16" s="64"/>
      <x:c r="L16" s="64"/>
      <x:c r="M16" s="64"/>
      <x:c r="N16" s="64"/>
      <x:c r="O16" s="64"/>
      <x:c r="P16" s="64"/>
      <x:c r="Q16" s="64"/>
    </x:row>
    <x:row r="17">
      <x:c r="A17" s="63" t="n">
        <x:v>4</x:v>
      </x:c>
      <x:c r="B17" s="63" t="str">
        <x:v>Bulak</x:v>
      </x:c>
      <x:c r="C17" s="75" t="n">
        <x:f>NIR_ZNT!K10</x:f>
        <x:v>8699758.000462059</x:v>
      </x:c>
      <x:c r="D17" s="75" t="n">
        <x:f>NIR_ZNT!L10</x:f>
        <x:v>8700000</x:v>
      </x:c>
      <x:c r="E17" s="76" t="n">
        <x:f>NIR_ZNT!H10</x:f>
        <x:v>0.24778875128852276</x:v>
      </x:c>
      <x:c r="F17" s="70" t="str">
        <x:f>NIR_ZNT!M10</x:f>
        <x:v>LOLOS - PROKSIONAL</x:v>
      </x:c>
      <x:c r="G17" s="75" t="n">
        <x:f>Objek_Representatif!J10</x:f>
        <x:v>1364000000</x:v>
      </x:c>
      <x:c r="H17" s="75" t="n">
        <x:f>PBB_P2!H10</x:f>
        <x:v>404700</x:v>
      </x:c>
      <x:c r="I17" s="63" t="str">
        <x:f>NIR_ZNT!N10</x:f>
        <x:v>PROKSI IKLAN</x:v>
      </x:c>
      <x:c r="J17" s="63" t="str">
        <x:v>https://www.rumah123.com/jual/surabaya/bulak/tanah/</x:v>
      </x:c>
      <x:c r="K17" s="64"/>
      <x:c r="L17" s="64"/>
      <x:c r="M17" s="64"/>
      <x:c r="N17" s="64"/>
      <x:c r="O17" s="64"/>
      <x:c r="P17" s="64"/>
      <x:c r="Q17" s="64"/>
    </x:row>
    <x:row r="18">
      <x:c r="A18" s="63" t="n">
        <x:v>5</x:v>
      </x:c>
      <x:c r="B18" s="63" t="str">
        <x:v>Dukuh Pakis</x:v>
      </x:c>
      <x:c r="C18" s="75" t="n">
        <x:f>NIR_ZNT!K11</x:f>
        <x:v>31319128.80166341</x:v>
      </x:c>
      <x:c r="D18" s="75" t="n">
        <x:f>NIR_ZNT!L11</x:f>
        <x:v>31300000</x:v>
      </x:c>
      <x:c r="E18" s="76" t="n">
        <x:f>NIR_ZNT!H11</x:f>
        <x:v>0.17860518179516288</x:v>
      </x:c>
      <x:c r="F18" s="70" t="str">
        <x:f>NIR_ZNT!M11</x:f>
        <x:v>LOLOS - PROKSIONAL</x:v>
      </x:c>
      <x:c r="G18" s="75" t="n">
        <x:f>Objek_Representatif!J11</x:f>
        <x:v>4076000000</x:v>
      </x:c>
      <x:c r="H18" s="75" t="n">
        <x:f>PBB_P2!H11</x:f>
        <x:v>1624400</x:v>
      </x:c>
      <x:c r="I18" s="63" t="str">
        <x:f>NIR_ZNT!N11</x:f>
        <x:v>PROKSI IKLAN</x:v>
      </x:c>
      <x:c r="J18" s="63" t="str">
        <x:v>https://www.rumah123.com/jual/surabaya/dukuh-pakis/tanah/</x:v>
      </x:c>
      <x:c r="K18" s="64"/>
      <x:c r="L18" s="64"/>
      <x:c r="M18" s="64"/>
      <x:c r="N18" s="64"/>
      <x:c r="O18" s="64"/>
      <x:c r="P18" s="64"/>
      <x:c r="Q18" s="64"/>
    </x:row>
    <x:row r="19">
      <x:c r="A19" s="63" t="n">
        <x:v>6</x:v>
      </x:c>
      <x:c r="B19" s="63" t="str">
        <x:v>Gayungan</x:v>
      </x:c>
      <x:c r="C19" s="75" t="n">
        <x:f>NIR_ZNT!K12</x:f>
        <x:v>7838481.958416315</x:v>
      </x:c>
      <x:c r="D19" s="75" t="n">
        <x:f>NIR_ZNT!L12</x:f>
        <x:v>7800000</x:v>
      </x:c>
      <x:c r="E19" s="76" t="n">
        <x:f>NIR_ZNT!H12</x:f>
        <x:v>0.4187722033127182</x:v>
      </x:c>
      <x:c r="F19" s="70" t="str">
        <x:f>NIR_ZNT!M12</x:f>
        <x:v>PERLU PECAH ZNT - CV TINGGI</x:v>
      </x:c>
      <x:c r="G19" s="75" t="n">
        <x:f>Objek_Representatif!J12</x:f>
        <x:v>1256000000</x:v>
      </x:c>
      <x:c r="H19" s="75" t="n">
        <x:f>PBB_P2!H12</x:f>
        <x:v>372300</x:v>
      </x:c>
      <x:c r="I19" s="63" t="str">
        <x:f>NIR_ZNT!N12</x:f>
        <x:v>PROKSI IKLAN</x:v>
      </x:c>
      <x:c r="J19" s="63" t="str">
        <x:v>https://www.rumah123.com/jual/surabaya/gayungan/tanah/</x:v>
      </x:c>
      <x:c r="K19" s="64"/>
      <x:c r="L19" s="64"/>
      <x:c r="M19" s="64"/>
      <x:c r="N19" s="64"/>
      <x:c r="O19" s="64"/>
      <x:c r="P19" s="64"/>
      <x:c r="Q19" s="64"/>
    </x:row>
    <x:row r="20">
      <x:c r="A20" s="63" t="n">
        <x:v>7</x:v>
      </x:c>
      <x:c r="B20" s="63" t="str">
        <x:v>Genteng</x:v>
      </x:c>
      <x:c r="C20" s="75" t="n">
        <x:f>NIR_ZNT!K13</x:f>
        <x:v>17399516.000924118</x:v>
      </x:c>
      <x:c r="D20" s="75" t="n">
        <x:f>NIR_ZNT!L13</x:f>
        <x:v>17400000</x:v>
      </x:c>
      <x:c r="E20" s="76" t="n">
        <x:f>NIR_ZNT!H13</x:f>
        <x:v>0.1272223521560606</x:v>
      </x:c>
      <x:c r="F20" s="70" t="str">
        <x:f>NIR_ZNT!M13</x:f>
        <x:v>LOLOS - PROKSIONAL</x:v>
      </x:c>
      <x:c r="G20" s="75" t="n">
        <x:f>Objek_Representatif!J13</x:f>
        <x:v>2408000000</x:v>
      </x:c>
      <x:c r="H20" s="75" t="n">
        <x:f>PBB_P2!H13</x:f>
        <x:v>957200</x:v>
      </x:c>
      <x:c r="I20" s="63" t="str">
        <x:f>NIR_ZNT!N13</x:f>
        <x:v>PROKSI IKLAN</x:v>
      </x:c>
      <x:c r="J20" s="63" t="str">
        <x:v>https://www.rumah123.com/jual/surabaya/genteng/tanah/</x:v>
      </x:c>
      <x:c r="K20" s="64"/>
      <x:c r="L20" s="64"/>
      <x:c r="M20" s="64"/>
      <x:c r="N20" s="64"/>
      <x:c r="O20" s="64"/>
      <x:c r="P20" s="64"/>
      <x:c r="Q20" s="64"/>
    </x:row>
    <x:row r="21">
      <x:c r="A21" s="63" t="n">
        <x:v>8</x:v>
      </x:c>
      <x:c r="B21" s="63" t="str">
        <x:v>Gubeng</x:v>
      </x:c>
      <x:c r="C21" s="75" t="n">
        <x:f>NIR_ZNT!K14</x:f>
        <x:v>6959806.400369647</x:v>
      </x:c>
      <x:c r="D21" s="75" t="n">
        <x:f>NIR_ZNT!L14</x:f>
        <x:v>7000000</x:v>
      </x:c>
      <x:c r="E21" s="76" t="n">
        <x:f>NIR_ZNT!H14</x:f>
        <x:v>0.14598180499583283</x:v>
      </x:c>
      <x:c r="F21" s="70" t="str">
        <x:f>NIR_ZNT!M14</x:f>
        <x:v>LOLOS - PROKSIONAL</x:v>
      </x:c>
      <x:c r="G21" s="75" t="n">
        <x:f>Objek_Representatif!J14</x:f>
        <x:v>1160000000</x:v>
      </x:c>
      <x:c r="H21" s="75" t="n">
        <x:f>PBB_P2!H14</x:f>
        <x:v>343500</x:v>
      </x:c>
      <x:c r="I21" s="63" t="str">
        <x:f>NIR_ZNT!N14</x:f>
        <x:v>PROKSI IKLAN</x:v>
      </x:c>
      <x:c r="J21" s="63" t="str">
        <x:v>https://www.rumah123.com/jual/surabaya/gubeng/tanah/</x:v>
      </x:c>
      <x:c r="K21" s="64"/>
      <x:c r="L21" s="64"/>
      <x:c r="M21" s="64"/>
      <x:c r="N21" s="64"/>
      <x:c r="O21" s="64"/>
      <x:c r="P21" s="64"/>
      <x:c r="Q21" s="64"/>
    </x:row>
    <x:row r="22">
      <x:c r="A22" s="63" t="n">
        <x:v>9</x:v>
      </x:c>
      <x:c r="B22" s="63" t="str">
        <x:v>Gunung Anyar</x:v>
      </x:c>
      <x:c r="C22" s="75" t="n">
        <x:f>NIR_ZNT!K15</x:f>
        <x:v>4349879.0002310295</x:v>
      </x:c>
      <x:c r="D22" s="75" t="n">
        <x:f>NIR_ZNT!L15</x:f>
        <x:v>4300000</x:v>
      </x:c>
      <x:c r="E22" s="76" t="n">
        <x:f>NIR_ZNT!H15</x:f>
        <x:v>0.37577829044940647</x:v>
      </x:c>
      <x:c r="F22" s="70" t="str">
        <x:f>NIR_ZNT!M15</x:f>
        <x:v>PERLU PECAH ZNT - CV TINGGI</x:v>
      </x:c>
      <x:c r="G22" s="75" t="n">
        <x:f>Objek_Representatif!J15</x:f>
        <x:v>836000000</x:v>
      </x:c>
      <x:c r="H22" s="75" t="n">
        <x:f>PBB_P2!H15</x:f>
        <x:v>164200</x:v>
      </x:c>
      <x:c r="I22" s="63" t="str">
        <x:f>NIR_ZNT!N15</x:f>
        <x:v>PROKSI IKLAN</x:v>
      </x:c>
      <x:c r="J22" s="63" t="str">
        <x:v>https://www.rumah123.com/jual/surabaya/gununganyar/tanah/</x:v>
      </x:c>
      <x:c r="K22" s="64"/>
      <x:c r="L22" s="64"/>
      <x:c r="M22" s="64"/>
      <x:c r="N22" s="64"/>
      <x:c r="O22" s="64"/>
      <x:c r="P22" s="64"/>
      <x:c r="Q22" s="64"/>
    </x:row>
    <x:row r="23">
      <x:c r="A23" s="63" t="n">
        <x:v>10</x:v>
      </x:c>
      <x:c r="B23" s="63" t="str">
        <x:v>Jambangan</x:v>
      </x:c>
      <x:c r="C23" s="75" t="n">
        <x:f>NIR_ZNT!K16</x:f>
        <x:v>7829782.2004158525</x:v>
      </x:c>
      <x:c r="D23" s="75" t="n">
        <x:f>NIR_ZNT!L16</x:f>
        <x:v>7800000</x:v>
      </x:c>
      <x:c r="E23" s="76" t="n">
        <x:f>NIR_ZNT!H16</x:f>
        <x:v>0.16122313536337063</x:v>
      </x:c>
      <x:c r="F23" s="70" t="str">
        <x:f>NIR_ZNT!M16</x:f>
        <x:v>LOLOS - PROKSIONAL</x:v>
      </x:c>
      <x:c r="G23" s="75" t="n">
        <x:f>Objek_Representatif!J16</x:f>
        <x:v>1256000000</x:v>
      </x:c>
      <x:c r="H23" s="75" t="n">
        <x:f>PBB_P2!H16</x:f>
        <x:v>372300</x:v>
      </x:c>
      <x:c r="I23" s="63" t="str">
        <x:f>NIR_ZNT!N16</x:f>
        <x:v>PROKSI IKLAN</x:v>
      </x:c>
      <x:c r="J23" s="63" t="str">
        <x:v>https://www.rumah123.com/jual/surabaya/jambangan/tanah/</x:v>
      </x:c>
      <x:c r="K23" s="64"/>
      <x:c r="L23" s="64"/>
      <x:c r="M23" s="64"/>
      <x:c r="N23" s="64"/>
      <x:c r="O23" s="64"/>
      <x:c r="P23" s="64"/>
      <x:c r="Q23" s="64"/>
    </x:row>
    <x:row r="24">
      <x:c r="A24" s="63" t="n">
        <x:v>11</x:v>
      </x:c>
      <x:c r="B24" s="63" t="str">
        <x:v>Karang Pilang</x:v>
      </x:c>
      <x:c r="C24" s="75" t="n">
        <x:f>NIR_ZNT!K17</x:f>
        <x:v>6742312.450358095</x:v>
      </x:c>
      <x:c r="D24" s="75" t="n">
        <x:f>NIR_ZNT!L17</x:f>
        <x:v>6700000</x:v>
      </x:c>
      <x:c r="E24" s="76" t="n">
        <x:f>NIR_ZNT!H17</x:f>
        <x:v>0.33593933605485543</x:v>
      </x:c>
      <x:c r="F24" s="70" t="str">
        <x:f>NIR_ZNT!M17</x:f>
        <x:v>PERLU PECAH ZNT - CV TINGGI</x:v>
      </x:c>
      <x:c r="G24" s="75" t="n">
        <x:f>Objek_Representatif!J17</x:f>
        <x:v>1124000000</x:v>
      </x:c>
      <x:c r="H24" s="75" t="n">
        <x:f>PBB_P2!H17</x:f>
        <x:v>332700</x:v>
      </x:c>
      <x:c r="I24" s="63" t="str">
        <x:f>NIR_ZNT!N17</x:f>
        <x:v>PROKSI IKLAN</x:v>
      </x:c>
      <x:c r="J24" s="63" t="str">
        <x:v>https://www.rumah123.com/jual/surabaya/karangpilang/tanah/</x:v>
      </x:c>
      <x:c r="K24" s="64"/>
      <x:c r="L24" s="64"/>
      <x:c r="M24" s="64"/>
      <x:c r="N24" s="64"/>
      <x:c r="O24" s="64"/>
      <x:c r="P24" s="64"/>
      <x:c r="Q24" s="64"/>
    </x:row>
    <x:row r="25">
      <x:c r="A25" s="63" t="n">
        <x:v>12</x:v>
      </x:c>
      <x:c r="B25" s="63" t="str">
        <x:v>Kenjeran</x:v>
      </x:c>
      <x:c r="C25" s="75" t="n">
        <x:f>NIR_ZNT!K18</x:f>
        <x:v>8699758.000462059</x:v>
      </x:c>
      <x:c r="D25" s="75" t="n">
        <x:f>NIR_ZNT!L18</x:f>
        <x:v>8700000</x:v>
      </x:c>
      <x:c r="E25" s="76" t="n">
        <x:f>NIR_ZNT!H18</x:f>
        <x:v>0.17906405412395612</x:v>
      </x:c>
      <x:c r="F25" s="70" t="str">
        <x:f>NIR_ZNT!M18</x:f>
        <x:v>LOLOS - PROKSIONAL</x:v>
      </x:c>
      <x:c r="G25" s="75" t="n">
        <x:f>Objek_Representatif!J18</x:f>
        <x:v>1364000000</x:v>
      </x:c>
      <x:c r="H25" s="75" t="n">
        <x:f>PBB_P2!H18</x:f>
        <x:v>404700</x:v>
      </x:c>
      <x:c r="I25" s="63" t="str">
        <x:f>NIR_ZNT!N18</x:f>
        <x:v>PROKSI IKLAN</x:v>
      </x:c>
      <x:c r="J25" s="63" t="str">
        <x:v>https://www.rumah123.com/jual/surabaya/kenjeran/tanah/</x:v>
      </x:c>
      <x:c r="K25" s="64"/>
      <x:c r="L25" s="64"/>
      <x:c r="M25" s="64"/>
      <x:c r="N25" s="64"/>
      <x:c r="O25" s="64"/>
      <x:c r="P25" s="64"/>
      <x:c r="Q25" s="64"/>
    </x:row>
    <x:row r="26">
      <x:c r="A26" s="63" t="n">
        <x:v>13</x:v>
      </x:c>
      <x:c r="B26" s="63" t="str">
        <x:v>Krembangan</x:v>
      </x:c>
      <x:c r="C26" s="75" t="n">
        <x:f>NIR_ZNT!K19</x:f>
        <x:v>7020704.706372881</x:v>
      </x:c>
      <x:c r="D26" s="75" t="n">
        <x:f>NIR_ZNT!L19</x:f>
        <x:v>7000000</x:v>
      </x:c>
      <x:c r="E26" s="76" t="n">
        <x:f>NIR_ZNT!H19</x:f>
        <x:v>0.3636202698558172</x:v>
      </x:c>
      <x:c r="F26" s="70" t="str">
        <x:f>NIR_ZNT!M19</x:f>
        <x:v>PERLU PECAH ZNT - CV TINGGI</x:v>
      </x:c>
      <x:c r="G26" s="75" t="n">
        <x:f>Objek_Representatif!J19</x:f>
        <x:v>1160000000</x:v>
      </x:c>
      <x:c r="H26" s="75" t="n">
        <x:f>PBB_P2!H19</x:f>
        <x:v>343500</x:v>
      </x:c>
      <x:c r="I26" s="63" t="str">
        <x:f>NIR_ZNT!N19</x:f>
        <x:v>PROKSI IKLAN</x:v>
      </x:c>
      <x:c r="J26" s="63" t="str">
        <x:v>https://www.rumah123.com/jual/surabaya/krembangan/tanah/</x:v>
      </x:c>
      <x:c r="K26" s="64"/>
      <x:c r="L26" s="64"/>
      <x:c r="M26" s="64"/>
      <x:c r="N26" s="64"/>
      <x:c r="O26" s="64"/>
      <x:c r="P26" s="64"/>
      <x:c r="Q26" s="64"/>
    </x:row>
    <x:row r="27">
      <x:c r="A27" s="63" t="n">
        <x:v>14</x:v>
      </x:c>
      <x:c r="B27" s="63" t="str">
        <x:v>Lakarsantri</x:v>
      </x:c>
      <x:c r="C27" s="75" t="n">
        <x:f>NIR_ZNT!K20</x:f>
        <x:v>13049637.000693087</x:v>
      </x:c>
      <x:c r="D27" s="75" t="n">
        <x:f>NIR_ZNT!L20</x:f>
        <x:v>13000000</x:v>
      </x:c>
      <x:c r="E27" s="76" t="n">
        <x:f>NIR_ZNT!H20</x:f>
        <x:v>0.36750115251944876</x:v>
      </x:c>
      <x:c r="F27" s="70" t="str">
        <x:f>NIR_ZNT!M20</x:f>
        <x:v>PERLU PECAH ZNT - CV TINGGI</x:v>
      </x:c>
      <x:c r="G27" s="75" t="n">
        <x:f>Objek_Representatif!J20</x:f>
        <x:v>1880000000</x:v>
      </x:c>
      <x:c r="H27" s="75" t="n">
        <x:f>PBB_P2!H20</x:f>
        <x:v>559500</x:v>
      </x:c>
      <x:c r="I27" s="63" t="str">
        <x:f>NIR_ZNT!N20</x:f>
        <x:v>PROKSI IKLAN</x:v>
      </x:c>
      <x:c r="J27" s="63" t="str">
        <x:v>https://www.rumah123.com/jual/surabaya/lakarsantri/tanah/</x:v>
      </x:c>
      <x:c r="K27" s="64"/>
      <x:c r="L27" s="64"/>
      <x:c r="M27" s="64"/>
      <x:c r="N27" s="64"/>
      <x:c r="O27" s="64"/>
      <x:c r="P27" s="64"/>
      <x:c r="Q27" s="64"/>
    </x:row>
    <x:row r="28">
      <x:c r="A28" s="63" t="n">
        <x:v>15</x:v>
      </x:c>
      <x:c r="B28" s="63" t="str">
        <x:v>Mulyorejo</x:v>
      </x:c>
      <x:c r="C28" s="75" t="n">
        <x:f>NIR_ZNT!K21</x:f>
        <x:v>19574455.50103963</x:v>
      </x:c>
      <x:c r="D28" s="75" t="n">
        <x:f>NIR_ZNT!L21</x:f>
        <x:v>19600000</x:v>
      </x:c>
      <x:c r="E28" s="76" t="n">
        <x:f>NIR_ZNT!H21</x:f>
        <x:v>0.3645300754608586</x:v>
      </x:c>
      <x:c r="F28" s="70" t="str">
        <x:f>NIR_ZNT!M21</x:f>
        <x:v>PERLU PECAH ZNT - CV TINGGI</x:v>
      </x:c>
      <x:c r="G28" s="75" t="n">
        <x:f>Objek_Representatif!J21</x:f>
        <x:v>2672000000</x:v>
      </x:c>
      <x:c r="H28" s="75" t="n">
        <x:f>PBB_P2!H21</x:f>
        <x:v>1062800</x:v>
      </x:c>
      <x:c r="I28" s="63" t="str">
        <x:f>NIR_ZNT!N21</x:f>
        <x:v>PROKSI IKLAN</x:v>
      </x:c>
      <x:c r="J28" s="63" t="str">
        <x:v>https://www.rumah123.com/jual/surabaya/mulyorejo/tanah/</x:v>
      </x:c>
      <x:c r="K28" s="64"/>
      <x:c r="L28" s="64"/>
      <x:c r="M28" s="64"/>
      <x:c r="N28" s="64"/>
      <x:c r="O28" s="64"/>
      <x:c r="P28" s="64"/>
      <x:c r="Q28" s="64"/>
    </x:row>
    <x:row r="29">
      <x:c r="A29" s="63" t="n">
        <x:v>16</x:v>
      </x:c>
      <x:c r="B29" s="63" t="str">
        <x:v>Pabean Cantian</x:v>
      </x:c>
      <x:c r="C29" s="75" t="n">
        <x:f>NIR_ZNT!K22</x:f>
        <x:v>5011060.608266146</x:v>
      </x:c>
      <x:c r="D29" s="75" t="n">
        <x:f>NIR_ZNT!L22</x:f>
        <x:v>5000000</x:v>
      </x:c>
      <x:c r="E29" s="76" t="n">
        <x:f>NIR_ZNT!H22</x:f>
        <x:v>0.06956973794421054</x:v>
      </x:c>
      <x:c r="F29" s="70" t="str">
        <x:f>NIR_ZNT!M22</x:f>
        <x:v>LOLOS - PROKSIONAL</x:v>
      </x:c>
      <x:c r="G29" s="75" t="n">
        <x:f>Objek_Representatif!J22</x:f>
        <x:v>920000000</x:v>
      </x:c>
      <x:c r="H29" s="75" t="n">
        <x:f>PBB_P2!H22</x:f>
        <x:v>181000</x:v>
      </x:c>
      <x:c r="I29" s="63" t="str">
        <x:f>NIR_ZNT!N22</x:f>
        <x:v>PROKSI IKLAN</x:v>
      </x:c>
      <x:c r="J29" s="63" t="str">
        <x:v>https://www.rumah123.com/jual/surabaya/pabean-cantikan/tanah/</x:v>
      </x:c>
      <x:c r="K29" s="64"/>
      <x:c r="L29" s="64"/>
      <x:c r="M29" s="64"/>
      <x:c r="N29" s="64"/>
      <x:c r="O29" s="64"/>
      <x:c r="P29" s="64"/>
      <x:c r="Q29" s="64"/>
    </x:row>
    <x:row r="30">
      <x:c r="A30" s="63" t="n">
        <x:v>17</x:v>
      </x:c>
      <x:c r="B30" s="63" t="str">
        <x:v>Pakal</x:v>
      </x:c>
      <x:c r="C30" s="75" t="n">
        <x:f>NIR_ZNT!K23</x:f>
        <x:v>7612288.250404301</x:v>
      </x:c>
      <x:c r="D30" s="75" t="n">
        <x:f>NIR_ZNT!L23</x:f>
        <x:v>7600000</x:v>
      </x:c>
      <x:c r="E30" s="76" t="n">
        <x:f>NIR_ZNT!H23</x:f>
        <x:v>0.21958804979836377</x:v>
      </x:c>
      <x:c r="F30" s="70" t="str">
        <x:f>NIR_ZNT!M23</x:f>
        <x:v>LOLOS - PROKSIONAL</x:v>
      </x:c>
      <x:c r="G30" s="75" t="n">
        <x:f>Objek_Representatif!J23</x:f>
        <x:v>1232000000</x:v>
      </x:c>
      <x:c r="H30" s="75" t="n">
        <x:f>PBB_P2!H23</x:f>
        <x:v>365100</x:v>
      </x:c>
      <x:c r="I30" s="63" t="str">
        <x:f>NIR_ZNT!N23</x:f>
        <x:v>PROKSI IKLAN</x:v>
      </x:c>
      <x:c r="J30" s="63" t="str">
        <x:v>https://www.rumah123.com/jual/surabaya/pakal/tanah/</x:v>
      </x:c>
      <x:c r="K30" s="64"/>
      <x:c r="L30" s="64"/>
      <x:c r="M30" s="64"/>
      <x:c r="N30" s="64"/>
      <x:c r="O30" s="64"/>
      <x:c r="P30" s="64"/>
      <x:c r="Q30" s="64"/>
    </x:row>
    <x:row r="31">
      <x:c r="A31" s="63" t="n">
        <x:v>18</x:v>
      </x:c>
      <x:c r="B31" s="63" t="str">
        <x:v>Rungkut</x:v>
      </x:c>
      <x:c r="C31" s="75" t="n">
        <x:f>NIR_ZNT!K24</x:f>
        <x:v>15224576.500808602</x:v>
      </x:c>
      <x:c r="D31" s="75" t="n">
        <x:f>NIR_ZNT!L24</x:f>
        <x:v>15200000</x:v>
      </x:c>
      <x:c r="E31" s="76" t="n">
        <x:f>NIR_ZNT!H24</x:f>
        <x:v>0.40841912812951114</x:v>
      </x:c>
      <x:c r="F31" s="70" t="str">
        <x:f>NIR_ZNT!M24</x:f>
        <x:v>PERLU PECAH ZNT - CV TINGGI</x:v>
      </x:c>
      <x:c r="G31" s="75" t="n">
        <x:f>Objek_Representatif!J24</x:f>
        <x:v>2144000000</x:v>
      </x:c>
      <x:c r="H31" s="75" t="n">
        <x:f>PBB_P2!H24</x:f>
        <x:v>851600</x:v>
      </x:c>
      <x:c r="I31" s="63" t="str">
        <x:f>NIR_ZNT!N24</x:f>
        <x:v>PROKSI IKLAN</x:v>
      </x:c>
      <x:c r="J31" s="63" t="str">
        <x:v>https://www.rumah123.com/jual/surabaya/rungkut/tanah/</x:v>
      </x:c>
      <x:c r="K31" s="64"/>
      <x:c r="L31" s="64"/>
      <x:c r="M31" s="64"/>
      <x:c r="N31" s="64"/>
      <x:c r="O31" s="64"/>
      <x:c r="P31" s="64"/>
      <x:c r="Q31" s="64"/>
    </x:row>
    <x:row r="32">
      <x:c r="A32" s="63" t="n">
        <x:v>19</x:v>
      </x:c>
      <x:c r="B32" s="63" t="str">
        <x:v>Sambikerep</x:v>
      </x:c>
      <x:c r="C32" s="75" t="n">
        <x:f>NIR_ZNT!K25</x:f>
        <x:v>13049637.000693087</x:v>
      </x:c>
      <x:c r="D32" s="75" t="n">
        <x:f>NIR_ZNT!L25</x:f>
        <x:v>13000000</x:v>
      </x:c>
      <x:c r="E32" s="76" t="n">
        <x:f>NIR_ZNT!H25</x:f>
        <x:v>0.23152832250516417</x:v>
      </x:c>
      <x:c r="F32" s="70" t="str">
        <x:f>NIR_ZNT!M25</x:f>
        <x:v>LOLOS - PROKSIONAL</x:v>
      </x:c>
      <x:c r="G32" s="75" t="n">
        <x:f>Objek_Representatif!J25</x:f>
        <x:v>1880000000</x:v>
      </x:c>
      <x:c r="H32" s="75" t="n">
        <x:f>PBB_P2!H25</x:f>
        <x:v>559500</x:v>
      </x:c>
      <x:c r="I32" s="63" t="str">
        <x:f>NIR_ZNT!N25</x:f>
        <x:v>PROKSI IKLAN</x:v>
      </x:c>
      <x:c r="J32" s="63" t="str">
        <x:v>https://www.rumah123.com/jual/surabaya/sambikerep/tanah/</x:v>
      </x:c>
      <x:c r="K32" s="64"/>
      <x:c r="L32" s="64"/>
      <x:c r="M32" s="64"/>
      <x:c r="N32" s="64"/>
      <x:c r="O32" s="64"/>
      <x:c r="P32" s="64"/>
      <x:c r="Q32" s="64"/>
    </x:row>
    <x:row r="33">
      <x:c r="A33" s="63" t="n">
        <x:v>20</x:v>
      </x:c>
      <x:c r="B33" s="63" t="str">
        <x:v>Sawahan</x:v>
      </x:c>
      <x:c r="C33" s="75" t="n">
        <x:f>NIR_ZNT!K26</x:f>
        <x:v>16442542.62087329</x:v>
      </x:c>
      <x:c r="D33" s="75" t="n">
        <x:f>NIR_ZNT!L26</x:f>
        <x:v>16400000</x:v>
      </x:c>
      <x:c r="E33" s="76" t="n">
        <x:f>NIR_ZNT!H26</x:f>
        <x:v>0.2926980189424304</x:v>
      </x:c>
      <x:c r="F33" s="70" t="str">
        <x:f>NIR_ZNT!M26</x:f>
        <x:v>LOLOS - PROKSIONAL</x:v>
      </x:c>
      <x:c r="G33" s="75" t="n">
        <x:f>Objek_Representatif!J26</x:f>
        <x:v>2288000000</x:v>
      </x:c>
      <x:c r="H33" s="75" t="n">
        <x:f>PBB_P2!H26</x:f>
        <x:v>909200</x:v>
      </x:c>
      <x:c r="I33" s="63" t="str">
        <x:f>NIR_ZNT!N26</x:f>
        <x:v>PROKSI IKLAN</x:v>
      </x:c>
      <x:c r="J33" s="63" t="str">
        <x:v>https://www.rumah123.com/jual/surabaya/sawahan/tanah/</x:v>
      </x:c>
      <x:c r="K33" s="64"/>
      <x:c r="L33" s="64"/>
      <x:c r="M33" s="64"/>
      <x:c r="N33" s="64"/>
      <x:c r="O33" s="64"/>
      <x:c r="P33" s="64"/>
      <x:c r="Q33" s="64"/>
    </x:row>
    <x:row r="34">
      <x:c r="A34" s="63" t="n">
        <x:v>21</x:v>
      </x:c>
      <x:c r="B34" s="63" t="str">
        <x:v>Semampir</x:v>
      </x:c>
      <x:c r="C34" s="75" t="n">
        <x:f>NIR_ZNT!K27</x:f>
        <x:v>5794038.828307731</x:v>
      </x:c>
      <x:c r="D34" s="75" t="n">
        <x:f>NIR_ZNT!L27</x:f>
        <x:v>5800000</x:v>
      </x:c>
      <x:c r="E34" s="76" t="n">
        <x:f>NIR_ZNT!H27</x:f>
        <x:v>0.5004621350286858</x:v>
      </x:c>
      <x:c r="F34" s="70" t="str">
        <x:f>NIR_ZNT!M27</x:f>
        <x:v>PERLU PECAH ZNT - CV TINGGI</x:v>
      </x:c>
      <x:c r="G34" s="75" t="n">
        <x:f>Objek_Representatif!J27</x:f>
        <x:v>1016000000</x:v>
      </x:c>
      <x:c r="H34" s="75" t="n">
        <x:f>PBB_P2!H27</x:f>
        <x:v>300300</x:v>
      </x:c>
      <x:c r="I34" s="63" t="str">
        <x:f>NIR_ZNT!N27</x:f>
        <x:v>PROKSI IKLAN</x:v>
      </x:c>
      <x:c r="J34" s="63" t="str">
        <x:v>https://www.rumah123.com/jual/surabaya/semampir/tanah/</x:v>
      </x:c>
      <x:c r="K34" s="64"/>
      <x:c r="L34" s="64"/>
      <x:c r="M34" s="64"/>
      <x:c r="N34" s="64"/>
      <x:c r="O34" s="64"/>
      <x:c r="P34" s="64"/>
      <x:c r="Q34" s="64"/>
    </x:row>
    <x:row r="35">
      <x:c r="A35" s="63" t="n">
        <x:v>22</x:v>
      </x:c>
      <x:c r="B35" s="63" t="str">
        <x:v>Simokerto</x:v>
      </x:c>
      <x:c r="C35" s="75" t="n">
        <x:f>NIR_ZNT!K28</x:f>
        <x:v>6089830.6003234405</x:v>
      </x:c>
      <x:c r="D35" s="75" t="n">
        <x:f>NIR_ZNT!L28</x:f>
        <x:v>6100000</x:v>
      </x:c>
      <x:c r="E35" s="76" t="n">
        <x:f>NIR_ZNT!H28</x:f>
        <x:v>0.2034286453290056</x:v>
      </x:c>
      <x:c r="F35" s="70" t="str">
        <x:f>NIR_ZNT!M28</x:f>
        <x:v>LOLOS - PROKSIONAL</x:v>
      </x:c>
      <x:c r="G35" s="75" t="n">
        <x:f>Objek_Representatif!J28</x:f>
        <x:v>1052000000</x:v>
      </x:c>
      <x:c r="H35" s="75" t="n">
        <x:f>PBB_P2!H28</x:f>
        <x:v>311100</x:v>
      </x:c>
      <x:c r="I35" s="63" t="str">
        <x:f>NIR_ZNT!N28</x:f>
        <x:v>PROKSI IKLAN</x:v>
      </x:c>
      <x:c r="J35" s="63" t="str">
        <x:v>https://www.rumah123.com/jual/surabaya/simokerto/tanah/</x:v>
      </x:c>
      <x:c r="K35" s="64"/>
      <x:c r="L35" s="64"/>
      <x:c r="M35" s="64"/>
      <x:c r="N35" s="64"/>
      <x:c r="O35" s="64"/>
      <x:c r="P35" s="64"/>
      <x:c r="Q35" s="64"/>
    </x:row>
    <x:row r="36">
      <x:c r="A36" s="63" t="n">
        <x:v>23</x:v>
      </x:c>
      <x:c r="B36" s="63" t="str">
        <x:v>Sukolilo</x:v>
      </x:c>
      <x:c r="C36" s="75" t="n">
        <x:f>NIR_ZNT!K29</x:f>
        <x:v>9134745.900485162</x:v>
      </x:c>
      <x:c r="D36" s="75" t="n">
        <x:f>NIR_ZNT!L29</x:f>
        <x:v>9100000</x:v>
      </x:c>
      <x:c r="E36" s="76" t="n">
        <x:f>NIR_ZNT!H29</x:f>
        <x:v>0.2260169910763133</x:v>
      </x:c>
      <x:c r="F36" s="70" t="str">
        <x:f>NIR_ZNT!M29</x:f>
        <x:v>LOLOS - PROKSIONAL</x:v>
      </x:c>
      <x:c r="G36" s="75" t="n">
        <x:f>Objek_Representatif!J29</x:f>
        <x:v>1412000000</x:v>
      </x:c>
      <x:c r="H36" s="75" t="n">
        <x:f>PBB_P2!H29</x:f>
        <x:v>419100</x:v>
      </x:c>
      <x:c r="I36" s="63" t="str">
        <x:f>NIR_ZNT!N29</x:f>
        <x:v>PROKSI IKLAN</x:v>
      </x:c>
      <x:c r="J36" s="63" t="str">
        <x:v>https://www.rumah123.com/jual/surabaya/sukolilo/tanah/</x:v>
      </x:c>
      <x:c r="K36" s="64"/>
      <x:c r="L36" s="64"/>
      <x:c r="M36" s="64"/>
      <x:c r="N36" s="64"/>
      <x:c r="O36" s="64"/>
      <x:c r="P36" s="64"/>
      <x:c r="Q36" s="64"/>
    </x:row>
    <x:row r="37">
      <x:c r="A37" s="63" t="n">
        <x:v>24</x:v>
      </x:c>
      <x:c r="B37" s="63" t="str">
        <x:v>Sukomanunggal</x:v>
      </x:c>
      <x:c r="C37" s="75" t="n">
        <x:f>NIR_ZNT!K30</x:f>
        <x:v>17399516.000924118</x:v>
      </x:c>
      <x:c r="D37" s="75" t="n">
        <x:f>NIR_ZNT!L30</x:f>
        <x:v>17400000</x:v>
      </x:c>
      <x:c r="E37" s="76" t="n">
        <x:f>NIR_ZNT!H30</x:f>
        <x:v>0.2170055592430348</x:v>
      </x:c>
      <x:c r="F37" s="70" t="str">
        <x:f>NIR_ZNT!M30</x:f>
        <x:v>LOLOS - PROKSIONAL</x:v>
      </x:c>
      <x:c r="G37" s="75" t="n">
        <x:f>Objek_Representatif!J30</x:f>
        <x:v>2408000000</x:v>
      </x:c>
      <x:c r="H37" s="75" t="n">
        <x:f>PBB_P2!H30</x:f>
        <x:v>957200</x:v>
      </x:c>
      <x:c r="I37" s="63" t="str">
        <x:f>NIR_ZNT!N30</x:f>
        <x:v>PROKSI IKLAN</x:v>
      </x:c>
      <x:c r="J37" s="63" t="str">
        <x:v>https://www.rumah123.com/jual/surabaya/sukomanunggal/tanah/</x:v>
      </x:c>
      <x:c r="K37" s="64"/>
      <x:c r="L37" s="64"/>
      <x:c r="M37" s="64"/>
      <x:c r="N37" s="64"/>
      <x:c r="O37" s="64"/>
      <x:c r="P37" s="64"/>
      <x:c r="Q37" s="64"/>
    </x:row>
    <x:row r="38">
      <x:c r="A38" s="63" t="n">
        <x:v>25</x:v>
      </x:c>
      <x:c r="B38" s="63" t="str">
        <x:v>Tambaksari</x:v>
      </x:c>
      <x:c r="C38" s="75" t="n">
        <x:f>NIR_ZNT!K31</x:f>
        <x:v>21140411.9411228</x:v>
      </x:c>
      <x:c r="D38" s="75" t="n">
        <x:f>NIR_ZNT!L31</x:f>
        <x:v>21100000</x:v>
      </x:c>
      <x:c r="E38" s="76" t="n">
        <x:f>NIR_ZNT!H31</x:f>
        <x:v>0.16078151151312278</x:v>
      </x:c>
      <x:c r="F38" s="70" t="str">
        <x:f>NIR_ZNT!M31</x:f>
        <x:v>LOLOS - PROKSIONAL</x:v>
      </x:c>
      <x:c r="G38" s="75" t="n">
        <x:f>Objek_Representatif!J31</x:f>
        <x:v>2852000000</x:v>
      </x:c>
      <x:c r="H38" s="75" t="n">
        <x:f>PBB_P2!H31</x:f>
        <x:v>1134800</x:v>
      </x:c>
      <x:c r="I38" s="63" t="str">
        <x:f>NIR_ZNT!N31</x:f>
        <x:v>PROKSI IKLAN</x:v>
      </x:c>
      <x:c r="J38" s="63" t="str">
        <x:v>https://www.rumah123.com/jual/surabaya/tambaksari/tanah/</x:v>
      </x:c>
      <x:c r="K38" s="64"/>
      <x:c r="L38" s="64"/>
      <x:c r="M38" s="64"/>
      <x:c r="N38" s="64"/>
      <x:c r="O38" s="64"/>
      <x:c r="P38" s="64"/>
      <x:c r="Q38" s="64"/>
    </x:row>
    <x:row r="39">
      <x:c r="A39" s="63" t="n">
        <x:v>26</x:v>
      </x:c>
      <x:c r="B39" s="63" t="str">
        <x:v>Tandes</x:v>
      </x:c>
      <x:c r="C39" s="75" t="n">
        <x:f>NIR_ZNT!K32</x:f>
        <x:v>6959806.400369647</x:v>
      </x:c>
      <x:c r="D39" s="75" t="n">
        <x:f>NIR_ZNT!L32</x:f>
        <x:v>7000000</x:v>
      </x:c>
      <x:c r="E39" s="76" t="n">
        <x:f>NIR_ZNT!H32</x:f>
        <x:v>0.24686239706342528</x:v>
      </x:c>
      <x:c r="F39" s="70" t="str">
        <x:f>NIR_ZNT!M32</x:f>
        <x:v>LOLOS - PROKSIONAL</x:v>
      </x:c>
      <x:c r="G39" s="75" t="n">
        <x:f>Objek_Representatif!J32</x:f>
        <x:v>1160000000</x:v>
      </x:c>
      <x:c r="H39" s="75" t="n">
        <x:f>PBB_P2!H32</x:f>
        <x:v>343500</x:v>
      </x:c>
      <x:c r="I39" s="63" t="str">
        <x:f>NIR_ZNT!N32</x:f>
        <x:v>PROKSI IKLAN</x:v>
      </x:c>
      <x:c r="J39" s="63" t="str">
        <x:v>https://www.rumah123.com/jual/surabaya/tandes/tanah/</x:v>
      </x:c>
      <x:c r="K39" s="64"/>
      <x:c r="L39" s="64"/>
      <x:c r="M39" s="64"/>
      <x:c r="N39" s="64"/>
      <x:c r="O39" s="64"/>
      <x:c r="P39" s="64"/>
      <x:c r="Q39" s="64"/>
    </x:row>
    <x:row r="40">
      <x:c r="A40" s="63" t="n">
        <x:v>27</x:v>
      </x:c>
      <x:c r="B40" s="63" t="str">
        <x:v>Tegalsari</x:v>
      </x:c>
      <x:c r="C40" s="75" t="n">
        <x:f>NIR_ZNT!K33</x:f>
        <x:v>23141356.281229075</x:v>
      </x:c>
      <x:c r="D40" s="75" t="n">
        <x:f>NIR_ZNT!L33</x:f>
        <x:v>23100000</x:v>
      </x:c>
      <x:c r="E40" s="76" t="n">
        <x:f>NIR_ZNT!H33</x:f>
        <x:v>0.23276676487562215</x:v>
      </x:c>
      <x:c r="F40" s="70" t="str">
        <x:f>NIR_ZNT!M33</x:f>
        <x:v>LOLOS - PROKSIONAL</x:v>
      </x:c>
      <x:c r="G40" s="75" t="n">
        <x:f>Objek_Representatif!J33</x:f>
        <x:v>3092000000</x:v>
      </x:c>
      <x:c r="H40" s="75" t="n">
        <x:f>PBB_P2!H33</x:f>
        <x:v>1230800</x:v>
      </x:c>
      <x:c r="I40" s="63" t="str">
        <x:f>NIR_ZNT!N33</x:f>
        <x:v>PROKSI IKLAN</x:v>
      </x:c>
      <x:c r="J40" s="63" t="str">
        <x:v>https://www.rumah123.com/jual/surabaya/tegalsari/tanah/</x:v>
      </x:c>
      <x:c r="K40" s="64"/>
      <x:c r="L40" s="64"/>
      <x:c r="M40" s="64"/>
      <x:c r="N40" s="64"/>
      <x:c r="O40" s="64"/>
      <x:c r="P40" s="64"/>
      <x:c r="Q40" s="64"/>
    </x:row>
    <x:row r="41">
      <x:c r="A41" s="63" t="n">
        <x:v>28</x:v>
      </x:c>
      <x:c r="B41" s="63" t="str">
        <x:v>Tenggilis Mejoyo</x:v>
      </x:c>
      <x:c r="C41" s="75" t="n">
        <x:f>NIR_ZNT!K34</x:f>
        <x:v>8264770.100438955</x:v>
      </x:c>
      <x:c r="D41" s="75" t="n">
        <x:f>NIR_ZNT!L34</x:f>
        <x:v>8300000</x:v>
      </x:c>
      <x:c r="E41" s="76" t="n">
        <x:f>NIR_ZNT!H34</x:f>
        <x:v>0.42076706222005605</x:v>
      </x:c>
      <x:c r="F41" s="70" t="str">
        <x:f>NIR_ZNT!M34</x:f>
        <x:v>PERLU PECAH ZNT - CV TINGGI</x:v>
      </x:c>
      <x:c r="G41" s="75" t="n">
        <x:f>Objek_Representatif!J34</x:f>
        <x:v>1316000000</x:v>
      </x:c>
      <x:c r="H41" s="75" t="n">
        <x:f>PBB_P2!H34</x:f>
        <x:v>390300</x:v>
      </x:c>
      <x:c r="I41" s="63" t="str">
        <x:f>NIR_ZNT!N34</x:f>
        <x:v>PROKSI IKLAN</x:v>
      </x:c>
      <x:c r="J41" s="63" t="str">
        <x:v>https://www.rumah123.com/jual/surabaya/tenggilis-mejoyo/tanah/</x:v>
      </x:c>
      <x:c r="K41" s="64"/>
      <x:c r="L41" s="64"/>
      <x:c r="M41" s="64"/>
      <x:c r="N41" s="64"/>
      <x:c r="O41" s="64"/>
      <x:c r="P41" s="64"/>
      <x:c r="Q41" s="64"/>
    </x:row>
    <x:row r="42">
      <x:c r="A42" s="63" t="n">
        <x:v>29</x:v>
      </x:c>
      <x:c r="B42" s="63" t="str">
        <x:v>Wiyung</x:v>
      </x:c>
      <x:c r="C42" s="75" t="n">
        <x:f>NIR_ZNT!K35</x:f>
        <x:v>16486041.4108756</x:v>
      </x:c>
      <x:c r="D42" s="75" t="n">
        <x:f>NIR_ZNT!L35</x:f>
        <x:v>16500000</x:v>
      </x:c>
      <x:c r="E42" s="76" t="n">
        <x:f>NIR_ZNT!H35</x:f>
        <x:v>0.2946246559562294</x:v>
      </x:c>
      <x:c r="F42" s="70" t="str">
        <x:f>NIR_ZNT!M35</x:f>
        <x:v>LOLOS - PROKSIONAL</x:v>
      </x:c>
      <x:c r="G42" s="75" t="n">
        <x:f>Objek_Representatif!J35</x:f>
        <x:v>2300000000</x:v>
      </x:c>
      <x:c r="H42" s="75" t="n">
        <x:f>PBB_P2!H35</x:f>
        <x:v>914000</x:v>
      </x:c>
      <x:c r="I42" s="63" t="str">
        <x:f>NIR_ZNT!N35</x:f>
        <x:v>PROKSI IKLAN</x:v>
      </x:c>
      <x:c r="J42" s="63" t="str">
        <x:v>https://www.rumah123.com/jual/surabaya/wiyung/tanah/</x:v>
      </x:c>
      <x:c r="K42" s="64"/>
      <x:c r="L42" s="64"/>
      <x:c r="M42" s="64"/>
      <x:c r="N42" s="64"/>
      <x:c r="O42" s="64"/>
      <x:c r="P42" s="64"/>
      <x:c r="Q42" s="64"/>
    </x:row>
    <x:row r="43">
      <x:c r="A43" s="63" t="n">
        <x:v>30</x:v>
      </x:c>
      <x:c r="B43" s="63" t="str">
        <x:v>Wonocolo</x:v>
      </x:c>
      <x:c r="C43" s="75" t="n">
        <x:f>NIR_ZNT!K36</x:f>
        <x:v>10439709.60055447</x:v>
      </x:c>
      <x:c r="D43" s="75" t="n">
        <x:f>NIR_ZNT!L36</x:f>
        <x:v>10400000</x:v>
      </x:c>
      <x:c r="E43" s="76" t="n">
        <x:f>NIR_ZNT!H36</x:f>
        <x:v>0.2733044965900131</x:v>
      </x:c>
      <x:c r="F43" s="70" t="str">
        <x:f>NIR_ZNT!M36</x:f>
        <x:v>LOLOS - PROKSIONAL</x:v>
      </x:c>
      <x:c r="G43" s="75" t="n">
        <x:f>Objek_Representatif!J36</x:f>
        <x:v>1568000000</x:v>
      </x:c>
      <x:c r="H43" s="75" t="n">
        <x:f>PBB_P2!H36</x:f>
        <x:v>465900</x:v>
      </x:c>
      <x:c r="I43" s="63" t="str">
        <x:f>NIR_ZNT!N36</x:f>
        <x:v>PROKSI IKLAN</x:v>
      </x:c>
      <x:c r="J43" s="63" t="str">
        <x:v>https://www.rumah123.com/jual/surabaya/wonocolo/tanah/</x:v>
      </x:c>
      <x:c r="K43" s="64"/>
      <x:c r="L43" s="64"/>
      <x:c r="M43" s="64"/>
      <x:c r="N43" s="64"/>
      <x:c r="O43" s="64"/>
      <x:c r="P43" s="64"/>
      <x:c r="Q43" s="64"/>
    </x:row>
    <x:row r="44">
      <x:c r="A44" s="63" t="n">
        <x:v>31</x:v>
      </x:c>
      <x:c r="B44" s="63" t="str">
        <x:v>Wonokromo</x:v>
      </x:c>
      <x:c r="C44" s="75" t="n">
        <x:f>NIR_ZNT!K37</x:f>
        <x:v>17138523.260910254</x:v>
      </x:c>
      <x:c r="D44" s="75" t="n">
        <x:f>NIR_ZNT!L37</x:f>
        <x:v>17100000</x:v>
      </x:c>
      <x:c r="E44" s="76" t="n">
        <x:f>NIR_ZNT!H37</x:f>
        <x:v>0.16643918644892197</x:v>
      </x:c>
      <x:c r="F44" s="70" t="str">
        <x:f>NIR_ZNT!M37</x:f>
        <x:v>LOLOS - PROKSIONAL</x:v>
      </x:c>
      <x:c r="G44" s="75" t="n">
        <x:f>Objek_Representatif!J37</x:f>
        <x:v>2372000000</x:v>
      </x:c>
      <x:c r="H44" s="75" t="n">
        <x:f>PBB_P2!H37</x:f>
        <x:v>942800</x:v>
      </x:c>
      <x:c r="I44" s="63" t="str">
        <x:f>NIR_ZNT!N37</x:f>
        <x:v>PROKSI IKLAN</x:v>
      </x:c>
      <x:c r="J44" s="63" t="str">
        <x:v>https://www.rumah123.com/jual/surabaya/wonokromo/tanah/</x:v>
      </x:c>
      <x:c r="K44" s="64"/>
      <x:c r="L44" s="64"/>
      <x:c r="M44" s="64"/>
      <x:c r="N44" s="64"/>
      <x:c r="O44" s="64"/>
      <x:c r="P44" s="64"/>
      <x:c r="Q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J1"/>
    <x:mergeCell ref="A2:J2"/>
    <x:mergeCell ref="A4:J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0" hidden="0" customWidth="1"/>
    <x:col min="3" max="3" width="28" hidden="0" customWidth="1"/>
    <x:col min="4" max="4" width="34" hidden="0" customWidth="1"/>
    <x:col min="5" max="5" width="27" hidden="0" customWidth="1"/>
    <x:col min="6" max="6" width="24" hidden="0" customWidth="1"/>
    <x:col min="7" max="7" width="32" hidden="0" customWidth="1"/>
    <x:col min="8" max="8" width="40" hidden="0" customWidth="1"/>
    <x:col min="9" max="9" width="20" hidden="0" customWidth="1"/>
  </x:cols>
  <x:sheetData>
    <x:row r="1" ht="26" customHeight="1">
      <x:c r="A1" s="71" t="str">
        <x:v>Inventaris Data Minimum Penilaian NJOP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Status pencarian per 12 September 2026. 'Tidak ditemukan publik' berarti tidak tersedia sebagai ekspor terbuka yang dapat dipakai langsung dalam analisis ini.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</x:row>
    <x:row r="5" ht="32" customHeight="1">
      <x:c r="A5" s="69" t="str">
        <x:v>Tahap</x:v>
      </x:c>
      <x:c r="B5" s="69" t="str">
        <x:v>Data minimum</x:v>
      </x:c>
      <x:c r="C5" s="69" t="str">
        <x:v>Wajib untuk</x:v>
      </x:c>
      <x:c r="D5" s="69" t="str">
        <x:v>Sumber yang dicari</x:v>
      </x:c>
      <x:c r="E5" s="69" t="str">
        <x:v>Status</x:v>
      </x:c>
      <x:c r="F5" s="69" t="str">
        <x:v>Dipakai sekarang</x:v>
      </x:c>
      <x:c r="G5" s="69" t="str">
        <x:v>Asumsi bila kosong</x:v>
      </x:c>
      <x:c r="H5" s="69" t="str">
        <x:v>Tindak lanjut</x:v>
      </x:c>
      <x:c r="I5" s="69" t="str">
        <x:v>Pemilik ideal</x:v>
      </x:c>
      <x:c r="J5" s="64"/>
      <x:c r="K5" s="64"/>
      <x:c r="L5" s="64"/>
      <x:c r="M5" s="64"/>
      <x:c r="N5" s="64"/>
      <x:c r="O5" s="64"/>
      <x:c r="P5" s="64"/>
      <x:c r="Q5" s="64"/>
    </x:row>
    <x:row r="6">
      <x:c r="A6" s="63" t="str">
        <x:v>Cakupan</x:v>
      </x:c>
      <x:c r="B6" s="63" t="str">
        <x:v>Batas kecamatan</x:v>
      </x:c>
      <x:c r="C6" s="63" t="str">
        <x:v>Agregasi administratif</x:v>
      </x:c>
      <x:c r="D6" s="63" t="str">
        <x:v>Open Data Surabaya - SHP 2026</x:v>
      </x:c>
      <x:c r="E6" s="70" t="str">
        <x:v>TERSEDIA RESMI</x:v>
      </x:c>
      <x:c r="F6" s="63" t="str">
        <x:v>31 kecamatan</x:v>
      </x:c>
      <x:c r="G6" s="63" t="str">
        <x:v>-</x:v>
      </x:c>
      <x:c r="H6" s="63" t="str">
        <x:v>Impor SHP ke GIS untuk geometri</x:v>
      </x:c>
      <x:c r="I6" s="63" t="str">
        <x:v>Pemkot/BPS</x:v>
      </x:c>
      <x:c r="J6" s="64"/>
      <x:c r="K6" s="64"/>
      <x:c r="L6" s="64"/>
      <x:c r="M6" s="64"/>
      <x:c r="N6" s="64"/>
      <x:c r="O6" s="64"/>
      <x:c r="P6" s="64"/>
      <x:c r="Q6" s="64"/>
    </x:row>
    <x:row r="7">
      <x:c r="A7" s="63" t="str">
        <x:v>Cakupan</x:v>
      </x:c>
      <x:c r="B7" s="63" t="str">
        <x:v>Batas kelurahan</x:v>
      </x:c>
      <x:c r="C7" s="63" t="str">
        <x:v>Subdivisi calon ZNT</x:v>
      </x:c>
      <x:c r="D7" s="63" t="str">
        <x:v>Open Data Surabaya - SHP 2026</x:v>
      </x:c>
      <x:c r="E7" s="70" t="str">
        <x:v>TERSEDIA RESMI</x:v>
      </x:c>
      <x:c r="F7" s="63" t="str">
        <x:v>Belum diolah di workbook</x:v>
      </x:c>
      <x:c r="G7" s="63" t="str">
        <x:v>Satu zona awal per kecamatan</x:v>
      </x:c>
      <x:c r="H7" s="63" t="str">
        <x:v>Ekstrak 153 kelurahan dan bentuk zona homogen</x:v>
      </x:c>
      <x:c r="I7" s="63" t="str">
        <x:v>Pemkot</x:v>
      </x:c>
      <x:c r="J7" s="64"/>
      <x:c r="K7" s="64"/>
      <x:c r="L7" s="64"/>
      <x:c r="M7" s="64"/>
      <x:c r="N7" s="64"/>
      <x:c r="O7" s="64"/>
      <x:c r="P7" s="64"/>
      <x:c r="Q7" s="64"/>
    </x:row>
    <x:row r="8">
      <x:c r="A8" s="63" t="str">
        <x:v>Tanah</x:v>
      </x:c>
      <x:c r="B8" s="63" t="str">
        <x:v>Harga transaksi wajar</x:v>
      </x:c>
      <x:c r="C8" s="63" t="str">
        <x:v>NIR/ZNT</x:v>
      </x:c>
      <x:c r="D8" s="63" t="str">
        <x:v>BPHTB/akta/PPAT/Bapenda</x:v>
      </x:c>
      <x:c r="E8" s="70" t="str">
        <x:v>TIDAK DITEMUKAN PUBLIK</x:v>
      </x:c>
      <x:c r="F8" s="63" t="str">
        <x:v>Tidak</x:v>
      </x:c>
      <x:c r="G8" s="63" t="str">
        <x:v>Lima harga penawaran/kecamatan</x:v>
      </x:c>
      <x:c r="H8" s="63" t="str">
        <x:v>Minta mikrodata anonim minimal tanggal, lokasi, luas, harga</x:v>
      </x:c>
      <x:c r="I8" s="63" t="str">
        <x:v>Bapenda/PPAT</x:v>
      </x:c>
      <x:c r="J8" s="64"/>
      <x:c r="K8" s="64"/>
      <x:c r="L8" s="64"/>
      <x:c r="M8" s="64"/>
      <x:c r="N8" s="64"/>
      <x:c r="O8" s="64"/>
      <x:c r="P8" s="64"/>
      <x:c r="Q8" s="64"/>
    </x:row>
    <x:row r="9">
      <x:c r="A9" s="63" t="str">
        <x:v>Tanah</x:v>
      </x:c>
      <x:c r="B9" s="63" t="str">
        <x:v>Harga penawaran</x:v>
      </x:c>
      <x:c r="C9" s="63" t="str">
        <x:v>Proksi saat transaksi kosong</x:v>
      </x:c>
      <x:c r="D9" s="63" t="str">
        <x:v>Rumah123 per kecamatan</x:v>
      </x:c>
      <x:c r="E9" s="70" t="str">
        <x:v>TERSEDIA PROKSI</x:v>
      </x:c>
      <x:c r="F9" s="63" t="str">
        <x:v>155 observasi</x:v>
      </x:c>
      <x:c r="G9" s="63" t="str">
        <x:v>-</x:v>
      </x:c>
      <x:c r="H9" s="63" t="str">
        <x:v>Verifikasi duplikasi dan kondisi tiap bidang</x:v>
      </x:c>
      <x:c r="I9" s="63" t="str">
        <x:v>Portal/Surveyor</x:v>
      </x:c>
      <x:c r="J9" s="64"/>
      <x:c r="K9" s="64"/>
      <x:c r="L9" s="64"/>
      <x:c r="M9" s="64"/>
      <x:c r="N9" s="64"/>
      <x:c r="O9" s="64"/>
      <x:c r="P9" s="64"/>
      <x:c r="Q9" s="64"/>
    </x:row>
    <x:row r="10">
      <x:c r="A10" s="63" t="str">
        <x:v>Tanah</x:v>
      </x:c>
      <x:c r="B10" s="63" t="str">
        <x:v>Koordinat bidang</x:v>
      </x:c>
      <x:c r="C10" s="63" t="str">
        <x:v>Plotting dan zona</x:v>
      </x:c>
      <x:c r="D10" s="63" t="str">
        <x:v>SPOP/LSPOP/survei/BHUMI</x:v>
      </x:c>
      <x:c r="E10" s="70" t="str">
        <x:v>TIDAK DITEMUKAN BULK</x:v>
      </x:c>
      <x:c r="F10" s="63" t="str">
        <x:v>Tidak</x:v>
      </x:c>
      <x:c r="G10" s="63" t="str">
        <x:v>Zona = kecamatan</x:v>
      </x:c>
      <x:c r="H10" s="63" t="str">
        <x:v>Geocode dan survei titik</x:v>
      </x:c>
      <x:c r="I10" s="63" t="str">
        <x:v>Bapenda/BPN</x:v>
      </x:c>
      <x:c r="J10" s="64"/>
      <x:c r="K10" s="64"/>
      <x:c r="L10" s="64"/>
      <x:c r="M10" s="64"/>
      <x:c r="N10" s="64"/>
      <x:c r="O10" s="64"/>
      <x:c r="P10" s="64"/>
      <x:c r="Q10" s="64"/>
    </x:row>
    <x:row r="11">
      <x:c r="A11" s="63" t="str">
        <x:v>Tanah</x:v>
      </x:c>
      <x:c r="B11" s="63" t="str">
        <x:v>Luas bidang</x:v>
      </x:c>
      <x:c r="C11" s="63" t="str">
        <x:v>Harga total ke Rp/m²</x:v>
      </x:c>
      <x:c r="D11" s="63" t="str">
        <x:v>Iklan/SPOP/akta</x:v>
      </x:c>
      <x:c r="E11" s="70" t="str">
        <x:v>SEBAGIAN</x:v>
      </x:c>
      <x:c r="F11" s="63" t="str">
        <x:v>Harga iklan sudah per m²</x:v>
      </x:c>
      <x:c r="G11" s="63" t="str">
        <x:v>Gunakan Rp/m² yang ditampilkan</x:v>
      </x:c>
      <x:c r="H11" s="63" t="str">
        <x:v>Ambil luas dan harga total untuk rekonsiliasi</x:v>
      </x:c>
      <x:c r="I11" s="63" t="str">
        <x:v>Surveyor</x:v>
      </x:c>
      <x:c r="J11" s="64"/>
      <x:c r="K11" s="64"/>
      <x:c r="L11" s="64"/>
      <x:c r="M11" s="64"/>
      <x:c r="N11" s="64"/>
      <x:c r="O11" s="64"/>
      <x:c r="P11" s="64"/>
      <x:c r="Q11" s="64"/>
    </x:row>
    <x:row r="12">
      <x:c r="A12" s="63" t="str">
        <x:v>Tanah</x:v>
      </x:c>
      <x:c r="B12" s="63" t="str">
        <x:v>Tanggal transaksi</x:v>
      </x:c>
      <x:c r="C12" s="63" t="str">
        <x:v>Koreksi waktu</x:v>
      </x:c>
      <x:c r="D12" s="63" t="str">
        <x:v>Akta/BPHTB</x:v>
      </x:c>
      <x:c r="E12" s="70" t="str">
        <x:v>TIDAK DITEMUKAN PUBLIK</x:v>
      </x:c>
      <x:c r="F12" s="63" t="str">
        <x:v>Tanggal akses iklan</x:v>
      </x:c>
      <x:c r="G12" s="63" t="str">
        <x:v>Semua diamati 12-Sep-2026</x:v>
      </x:c>
      <x:c r="H12" s="63" t="str">
        <x:v>Gunakan tanggal akta</x:v>
      </x:c>
      <x:c r="I12" s="63" t="str">
        <x:v>Bapenda/PPAT</x:v>
      </x:c>
      <x:c r="J12" s="64"/>
      <x:c r="K12" s="64"/>
      <x:c r="L12" s="64"/>
      <x:c r="M12" s="64"/>
      <x:c r="N12" s="64"/>
      <x:c r="O12" s="64"/>
      <x:c r="P12" s="64"/>
      <x:c r="Q12" s="64"/>
    </x:row>
    <x:row r="13">
      <x:c r="A13" s="63" t="str">
        <x:v>Tanah</x:v>
      </x:c>
      <x:c r="B13" s="63" t="str">
        <x:v>Status hak</x:v>
      </x:c>
      <x:c r="C13" s="63" t="str">
        <x:v>Koreksi hak</x:v>
      </x:c>
      <x:c r="D13" s="63" t="str">
        <x:v>Sertifikat/iklan</x:v>
      </x:c>
      <x:c r="E13" s="70" t="str">
        <x:v>TIDAK KONSISTEN</x:v>
      </x:c>
      <x:c r="F13" s="63" t="str">
        <x:v>Tidak</x:v>
      </x:c>
      <x:c r="G13" s="63" t="str">
        <x:v>Koreksi 0%</x:v>
      </x:c>
      <x:c r="H13" s="63" t="str">
        <x:v>Kode HM/HGB/nonsertifikat per sampel</x:v>
      </x:c>
      <x:c r="I13" s="63" t="str">
        <x:v>BPN/Surveyor</x:v>
      </x:c>
      <x:c r="J13" s="64"/>
      <x:c r="K13" s="64"/>
      <x:c r="L13" s="64"/>
      <x:c r="M13" s="64"/>
      <x:c r="N13" s="64"/>
      <x:c r="O13" s="64"/>
      <x:c r="P13" s="64"/>
      <x:c r="Q13" s="64"/>
    </x:row>
    <x:row r="14">
      <x:c r="A14" s="63" t="str">
        <x:v>Tanah</x:v>
      </x:c>
      <x:c r="B14" s="63" t="str">
        <x:v>Peruntukan/RDTR</x:v>
      </x:c>
      <x:c r="C14" s="63" t="str">
        <x:v>Homogenitas zona</x:v>
      </x:c>
      <x:c r="D14" s="63" t="str">
        <x:v>Satu Peta / Peta Peruntukan</x:v>
      </x:c>
      <x:c r="E14" s="70" t="str">
        <x:v>TERSEDIA VISUAL</x:v>
      </x:c>
      <x:c r="F14" s="63" t="str">
        <x:v>Tidak dikuantifikasi</x:v>
      </x:c>
      <x:c r="G14" s="63" t="str">
        <x:v>Tidak ada faktor</x:v>
      </x:c>
      <x:c r="H14" s="63" t="str">
        <x:v>Overlay geometri dan kelas peruntukan</x:v>
      </x:c>
      <x:c r="I14" s="63" t="str">
        <x:v>DPRKPP</x:v>
      </x:c>
      <x:c r="J14" s="64"/>
      <x:c r="K14" s="64"/>
      <x:c r="L14" s="64"/>
      <x:c r="M14" s="64"/>
      <x:c r="N14" s="64"/>
      <x:c r="O14" s="64"/>
      <x:c r="P14" s="64"/>
      <x:c r="Q14" s="64"/>
    </x:row>
    <x:row r="15">
      <x:c r="A15" s="63" t="str">
        <x:v>Tanah</x:v>
      </x:c>
      <x:c r="B15" s="63" t="str">
        <x:v>Akses jalan, banjir, fasilitas</x:v>
      </x:c>
      <x:c r="C15" s="63" t="str">
        <x:v>Penyesuaian lokasi</x:v>
      </x:c>
      <x:c r="D15" s="63" t="str">
        <x:v>Satu Peta/survei</x:v>
      </x:c>
      <x:c r="E15" s="70" t="str">
        <x:v>TERSEDIA VISUAL</x:v>
      </x:c>
      <x:c r="F15" s="63" t="str">
        <x:v>Tidak dikuantifikasi</x:v>
      </x:c>
      <x:c r="G15" s="63" t="str">
        <x:v>Tercermin sebagian pada harga</x:v>
      </x:c>
      <x:c r="H15" s="63" t="str">
        <x:v>Bangun variabel jarak/kelas jalan/risiko</x:v>
      </x:c>
      <x:c r="I15" s="63" t="str">
        <x:v>Pemkot/Surveyor</x:v>
      </x:c>
      <x:c r="J15" s="64"/>
      <x:c r="K15" s="64"/>
      <x:c r="L15" s="64"/>
      <x:c r="M15" s="64"/>
      <x:c r="N15" s="64"/>
      <x:c r="O15" s="64"/>
      <x:c r="P15" s="64"/>
      <x:c r="Q15" s="64"/>
    </x:row>
    <x:row r="16">
      <x:c r="A16" s="63" t="str">
        <x:v>Bangunan</x:v>
      </x:c>
      <x:c r="B16" s="63" t="str">
        <x:v>Luas dan JPB</x:v>
      </x:c>
      <x:c r="C16" s="63" t="str">
        <x:v>NJOP bangunan</x:v>
      </x:c>
      <x:c r="D16" s="63" t="str">
        <x:v>SPOP/LSPOP</x:v>
      </x:c>
      <x:c r="E16" s="70" t="str">
        <x:v>TIDAK DITEMUKAN PUBLIK</x:v>
      </x:c>
      <x:c r="F16" s="63" t="str">
        <x:v>Objek skenario</x:v>
      </x:c>
      <x:c r="G16" s="63" t="str">
        <x:v>80 m² residensial</x:v>
      </x:c>
      <x:c r="H16" s="63" t="str">
        <x:v>Impor data objek</x:v>
      </x:c>
      <x:c r="I16" s="63" t="str">
        <x:v>Bapenda/WP</x:v>
      </x:c>
      <x:c r="J16" s="64"/>
      <x:c r="K16" s="64"/>
      <x:c r="L16" s="64"/>
      <x:c r="M16" s="64"/>
      <x:c r="N16" s="64"/>
      <x:c r="O16" s="64"/>
      <x:c r="P16" s="64"/>
      <x:c r="Q16" s="64"/>
    </x:row>
    <x:row r="17">
      <x:c r="A17" s="63" t="str">
        <x:v>Bangunan</x:v>
      </x:c>
      <x:c r="B17" s="63" t="str">
        <x:v>DBKB</x:v>
      </x:c>
      <x:c r="C17" s="63" t="str">
        <x:v>Biaya pengganti baru</x:v>
      </x:c>
      <x:c r="D17" s="63" t="str">
        <x:v>JDIH/Bapenda</x:v>
      </x:c>
      <x:c r="E17" s="70" t="str">
        <x:v>TIDAK DITEMUKAN DATA SIAP PAKAI</x:v>
      </x:c>
      <x:c r="F17" s="63" t="str">
        <x:v>Asumsi Rp5 jt/m²</x:v>
      </x:c>
      <x:c r="G17" s="63" t="str">
        <x:v>DBKB residensial standar</x:v>
      </x:c>
      <x:c r="H17" s="63" t="str">
        <x:v>Minta DBKB dan tabel JPB tahun nilai</x:v>
      </x:c>
      <x:c r="I17" s="63" t="str">
        <x:v>Bapenda</x:v>
      </x:c>
      <x:c r="J17" s="64"/>
      <x:c r="K17" s="64"/>
      <x:c r="L17" s="64"/>
      <x:c r="M17" s="64"/>
      <x:c r="N17" s="64"/>
      <x:c r="O17" s="64"/>
      <x:c r="P17" s="64"/>
      <x:c r="Q17" s="64"/>
    </x:row>
    <x:row r="18">
      <x:c r="A18" s="63" t="str">
        <x:v>Bangunan</x:v>
      </x:c>
      <x:c r="B18" s="63" t="str">
        <x:v>Umur/kondisi</x:v>
      </x:c>
      <x:c r="C18" s="63" t="str">
        <x:v>Penyusutan</x:v>
      </x:c>
      <x:c r="D18" s="63" t="str">
        <x:v>SPOP/inspeksi</x:v>
      </x:c>
      <x:c r="E18" s="70" t="str">
        <x:v>TIDAK DITEMUKAN PUBLIK</x:v>
      </x:c>
      <x:c r="F18" s="63" t="str">
        <x:v>Asumsi 20%</x:v>
      </x:c>
      <x:c r="G18" s="63" t="str">
        <x:v>Kondisi sedang</x:v>
      </x:c>
      <x:c r="H18" s="63" t="str">
        <x:v>Survei fisik/IMB-PBG</x:v>
      </x:c>
      <x:c r="I18" s="63" t="str">
        <x:v>Bapenda/Pemilik</x:v>
      </x:c>
      <x:c r="J18" s="64"/>
      <x:c r="K18" s="64"/>
      <x:c r="L18" s="64"/>
      <x:c r="M18" s="64"/>
      <x:c r="N18" s="64"/>
      <x:c r="O18" s="64"/>
      <x:c r="P18" s="64"/>
      <x:c r="Q18" s="64"/>
    </x:row>
    <x:row r="19">
      <x:c r="A19" s="63" t="str">
        <x:v>Kelas</x:v>
      </x:c>
      <x:c r="B19" s="63" t="str">
        <x:v>Tabel kelas NJOP bumi/bangunan</x:v>
      </x:c>
      <x:c r="C19" s="63" t="str">
        <x:v>Konversi nilai ke kelas</x:v>
      </x:c>
      <x:c r="D19" s="63" t="str">
        <x:v>Perwali 1/2024</x:v>
      </x:c>
      <x:c r="E19" s="70" t="str">
        <x:v>REGULASI ADA; TABEL BELUM DIEKSTRAK</x:v>
      </x:c>
      <x:c r="F19" s="63" t="str">
        <x:v>Pembulatan Rp100 ribu</x:v>
      </x:c>
      <x:c r="G19" s="63" t="str">
        <x:v>Interval sementara</x:v>
      </x:c>
      <x:c r="H19" s="63" t="str">
        <x:v>Masukkan tabel kelas resmi</x:v>
      </x:c>
      <x:c r="I19" s="63" t="str">
        <x:v>Bapenda/JDIH</x:v>
      </x:c>
      <x:c r="J19" s="64"/>
      <x:c r="K19" s="64"/>
      <x:c r="L19" s="64"/>
      <x:c r="M19" s="64"/>
      <x:c r="N19" s="64"/>
      <x:c r="O19" s="64"/>
      <x:c r="P19" s="64"/>
      <x:c r="Q19" s="64"/>
    </x:row>
    <x:row r="20">
      <x:c r="A20" s="63" t="str">
        <x:v>PBB</x:v>
      </x:c>
      <x:c r="B20" s="63" t="str">
        <x:v>NJOPTKP dan tarif</x:v>
      </x:c>
      <x:c r="C20" s="63" t="str">
        <x:v>PBB terutang</x:v>
      </x:c>
      <x:c r="D20" s="63" t="str">
        <x:v>Perda 7/2023</x:v>
      </x:c>
      <x:c r="E20" s="70" t="str">
        <x:v>TERSEDIA RESMI</x:v>
      </x:c>
      <x:c r="F20" s="63" t="str">
        <x:v>Dipakai</x:v>
      </x:c>
      <x:c r="G20" s="63" t="str">
        <x:v>-</x:v>
      </x:c>
      <x:c r="H20" s="63" t="str">
        <x:v>Verifikasi perubahan tahun berikut</x:v>
      </x:c>
      <x:c r="I20" s="63" t="str">
        <x:v>Pemkot</x:v>
      </x:c>
      <x:c r="J20" s="64"/>
      <x:c r="K20" s="64"/>
      <x:c r="L20" s="64"/>
      <x:c r="M20" s="64"/>
      <x:c r="N20" s="64"/>
      <x:c r="O20" s="64"/>
      <x:c r="P20" s="64"/>
      <x:c r="Q20" s="64"/>
    </x:row>
    <x:row r="21">
      <x:c r="A21" s="63" t="str">
        <x:v>PBB</x:v>
      </x:c>
      <x:c r="B21" s="63" t="str">
        <x:v>Persentase DPP per kelompok</x:v>
      </x:c>
      <x:c r="C21" s="63" t="str">
        <x:v>DPP PBB</x:v>
      </x:c>
      <x:c r="D21" s="63" t="str">
        <x:v>Perwali pelaksana</x:v>
      </x:c>
      <x:c r="E21" s="70" t="str">
        <x:v>TIDAK DITEMUKAN ANGKA SPESIFIK</x:v>
      </x:c>
      <x:c r="F21" s="63" t="str">
        <x:v>20%</x:v>
      </x:c>
      <x:c r="G21" s="63" t="str">
        <x:v>Batas bawah Perda</x:v>
      </x:c>
      <x:c r="H21" s="63" t="str">
        <x:v>Minta kebijakan DPP per klaster/pemanfaatan</x:v>
      </x:c>
      <x:c r="I21" s="63" t="str">
        <x:v>Bapenda</x:v>
      </x:c>
      <x:c r="J21" s="64"/>
      <x:c r="K21" s="64"/>
      <x:c r="L21" s="64"/>
      <x:c r="M21" s="64"/>
      <x:c r="N21" s="64"/>
      <x:c r="O21" s="64"/>
      <x:c r="P21" s="64"/>
      <x:c r="Q21" s="64"/>
    </x:row>
    <x:row r="22">
      <x:c r="A22" s="63" t="str">
        <x:v>Validasi</x:v>
      </x:c>
      <x:c r="B22" s="63" t="str">
        <x:v>NJOP/SPPT per bidang</x:v>
      </x:c>
      <x:c r="C22" s="63" t="str">
        <x:v>Uji rasio</x:v>
      </x:c>
      <x:c r="D22" s="63" t="str">
        <x:v>PBB Online</x:v>
      </x:c>
      <x:c r="E22" s="70" t="str">
        <x:v>AKSES INDIVIDUAL + NIK/NOP/CAPTCHA</x:v>
      </x:c>
      <x:c r="F22" s="63" t="str">
        <x:v>Tidak</x:v>
      </x:c>
      <x:c r="G22" s="63" t="str">
        <x:v>Tidak ada uji rasio</x:v>
      </x:c>
      <x:c r="H22" s="63" t="str">
        <x:v>Gunakan data berizin dan anonim</x:v>
      </x:c>
      <x:c r="I22" s="63" t="str">
        <x:v>Wajib Pajak/Bapenda</x:v>
      </x:c>
      <x:c r="J22" s="64"/>
      <x:c r="K22" s="64"/>
      <x:c r="L22" s="64"/>
      <x:c r="M22" s="64"/>
      <x:c r="N22" s="64"/>
      <x:c r="O22" s="64"/>
      <x:c r="P22" s="64"/>
      <x:c r="Q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8" hidden="0" customWidth="1"/>
    <x:col min="5" max="5" width="58" hidden="0" customWidth="1"/>
    <x:col min="6" max="6" width="48" hidden="0" customWidth="1"/>
  </x:cols>
  <x:sheetData>
    <x:row r="1" ht="26" customHeight="1">
      <x:c r="A1" s="62" t="str">
        <x:v>Asumsi dan Parameter Model</x:v>
      </x:c>
      <x:c r="B1" s="63"/>
      <x:c r="C1" s="63"/>
      <x:c r="D1" s="63"/>
      <x:c r="E1" s="63"/>
      <x:c r="F1" s="63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Sel kuning dengan font biru adalah input yang dapat diubah. Nilai awal adalah asumsi analitis, kecuali yang berstatus RESMI.</x:v>
      </x:c>
      <x:c r="B2" s="63"/>
      <x:c r="C2" s="63"/>
      <x:c r="D2" s="63"/>
      <x:c r="E2" s="63"/>
      <x:c r="F2" s="63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3"/>
      <x:c r="B3" s="63"/>
      <x:c r="C3" s="63"/>
      <x:c r="D3" s="63"/>
      <x:c r="E3" s="63"/>
      <x:c r="F3" s="63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>
      <x:c r="A4" s="63"/>
      <x:c r="B4" s="63"/>
      <x:c r="C4" s="63"/>
      <x:c r="D4" s="63"/>
      <x:c r="E4" s="63"/>
      <x:c r="F4" s="63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</x:row>
    <x:row r="5" ht="32" customHeight="1">
      <x:c r="A5" s="69" t="str">
        <x:v>Parameter</x:v>
      </x:c>
      <x:c r="B5" s="69" t="str">
        <x:v>Nilai</x:v>
      </x:c>
      <x:c r="C5" s="69" t="str">
        <x:v>Satuan</x:v>
      </x:c>
      <x:c r="D5" s="69" t="str">
        <x:v>Status</x:v>
      </x:c>
      <x:c r="E5" s="69" t="str">
        <x:v>Alasan / penggunaan</x:v>
      </x:c>
      <x:c r="F5" s="69" t="str">
        <x:v>Sumber / dasar</x:v>
      </x:c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</x:row>
    <x:row r="6">
      <x:c r="A6" s="68" t="str">
        <x:v>Tanggal nilai</x:v>
      </x:c>
      <x:c r="B6" s="77" t="n">
        <x:v>46023</x:v>
      </x:c>
      <x:c r="C6" s="63" t="str">
        <x:v>tanggal</x:v>
      </x:c>
      <x:c r="D6" s="63" t="str">
        <x:v>RESMI-KONSEP</x:v>
      </x:c>
      <x:c r="E6" s="63" t="str">
        <x:v>Keadaan objek PBB per 1 Januari.</x:v>
      </x:c>
      <x:c r="F6" s="63" t="str">
        <x:v>Perda Surabaya 7/2023 Pasal 10(5)</x:v>
      </x:c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</x:row>
    <x:row r="7">
      <x:c r="A7" s="68" t="str">
        <x:v>Tanggal akses proksi</x:v>
      </x:c>
      <x:c r="B7" s="77" t="n">
        <x:v>46277</x:v>
      </x:c>
      <x:c r="C7" s="63" t="str">
        <x:v>tanggal</x:v>
      </x:c>
      <x:c r="D7" s="63" t="str">
        <x:v>FAKTA AKSES</x:v>
      </x:c>
      <x:c r="E7" s="63" t="str">
        <x:v>Tanggal pengambilan sampel halaman publik.</x:v>
      </x:c>
      <x:c r="F7" s="63" t="str">
        <x:v>Rumah123 per kecamatan</x:v>
      </x:c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</x:row>
    <x:row r="8">
      <x:c r="A8" s="68" t="str">
        <x:v>Koreksi harga penawaran</x:v>
      </x:c>
      <x:c r="B8" s="78" t="n">
        <x:v>0.1</x:v>
      </x:c>
      <x:c r="C8" s="63" t="str">
        <x:v>%</x:v>
      </x:c>
      <x:c r="D8" s="63" t="str">
        <x:v>ASUMSI</x:v>
      </x:c>
      <x:c r="E8" s="63" t="str">
        <x:v>Menurunkan harga tawar menjadi indikasi transaksi; jurnal memakai -10% untuk Semarang, bukan parameter resmi Surabaya.</x:v>
      </x:c>
      <x:c r="F8" s="63" t="str">
        <x:v>Jurnal Geodesi Undip 2016 + asumsi Surabaya</x:v>
      </x:c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</x:row>
    <x:row r="9">
      <x:c r="A9" s="68" t="str">
        <x:v>Tren nilai tanah tahunan</x:v>
      </x:c>
      <x:c r="B9" s="78" t="n">
        <x:v>0.05</x:v>
      </x:c>
      <x:c r="C9" s="63" t="str">
        <x:v>%/tahun</x:v>
      </x:c>
      <x:c r="D9" s="63" t="str">
        <x:v>ASUMSI</x:v>
      </x:c>
      <x:c r="E9" s="63" t="str">
        <x:v>Menarik harga September 2026 ke 1 Januari 2026.</x:v>
      </x:c>
      <x:c r="F9" s="63" t="str">
        <x:v>Asumsi konservatif; ganti indeks transaksi</x:v>
      </x:c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</x:row>
    <x:row r="10">
      <x:c r="A10" s="68" t="str">
        <x:v>Koreksi status hak</x:v>
      </x:c>
      <x:c r="B10" s="78" t="n">
        <x:v>0</x:v>
      </x:c>
      <x:c r="C10" s="63" t="str">
        <x:v>%</x:v>
      </x:c>
      <x:c r="D10" s="63" t="str">
        <x:v>ASUMSI</x:v>
      </x:c>
      <x:c r="E10" s="63" t="str">
        <x:v>Hak tiap iklan tidak dikodekan konsisten; diasumsikan dapat dipasarkan.</x:v>
      </x:c>
      <x:c r="F10" s="63" t="str">
        <x:v>Jurnal: HM 0%, HGB/HGU 5%, nonsertifikat 10%</x:v>
      </x:c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</x:row>
    <x:row r="11">
      <x:c r="A11" s="68" t="str">
        <x:v>Minimum sampel per zona</x:v>
      </x:c>
      <x:c r="B11" s="79" t="n">
        <x:v>3</x:v>
      </x:c>
      <x:c r="C11" s="63" t="str">
        <x:v>observasi</x:v>
      </x:c>
      <x:c r="D11" s="63" t="str">
        <x:v>METODE JURNAL</x:v>
      </x:c>
      <x:c r="E11" s="63" t="str">
        <x:v>Zona dengan kurang dari tiga sampel gagal.</x:v>
      </x:c>
      <x:c r="F11" s="63" t="str">
        <x:v>Jurnal Geodesi Undip 2016</x:v>
      </x:c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</x:row>
    <x:row r="12">
      <x:c r="A12" s="68" t="str">
        <x:v>CV maksimum</x:v>
      </x:c>
      <x:c r="B12" s="78" t="n">
        <x:v>0.3</x:v>
      </x:c>
      <x:c r="C12" s="63" t="str">
        <x:v>%</x:v>
      </x:c>
      <x:c r="D12" s="63" t="str">
        <x:v>METODE JURNAL</x:v>
      </x:c>
      <x:c r="E12" s="63" t="str">
        <x:v>CV di atas 30% memerlukan subdivisi/survei ulang.</x:v>
      </x:c>
      <x:c r="F12" s="63" t="str">
        <x:v>Jurnal Geodesi Undip 2016</x:v>
      </x:c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</x:row>
    <x:row r="13">
      <x:c r="A13" s="68" t="str">
        <x:v>Statistik NIR aktif</x:v>
      </x:c>
      <x:c r="B13" s="79" t="str">
        <x:v>Median</x:v>
      </x:c>
      <x:c r="C13" s="63" t="str">
        <x:v>Mean/Median</x:v>
      </x:c>
      <x:c r="D13" s="63" t="str">
        <x:v>ASUMSI METODE</x:v>
      </x:c>
      <x:c r="E13" s="63" t="str">
        <x:v>Median dipilih untuk meredam iklan ekstrem; ubah ke Mean untuk mereplikasi jurnal.</x:v>
      </x:c>
      <x:c r="F13" s="63" t="str">
        <x:v>Praktik robust awal</x:v>
      </x:c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</x:row>
    <x:row r="14">
      <x:c r="A14" s="68" t="str">
        <x:v>Batas outlier bawah</x:v>
      </x:c>
      <x:c r="B14" s="80" t="n">
        <x:v>0.4</x:v>
      </x:c>
      <x:c r="C14" s="63" t="str">
        <x:v>x median</x:v>
      </x:c>
      <x:c r="D14" s="63" t="str">
        <x:v>ASUMSI</x:v>
      </x:c>
      <x:c r="E14" s="63" t="str">
        <x:v>Harga di bawah 40% median lima iklan ditandai outlier.</x:v>
      </x:c>
      <x:c r="F14" s="63" t="str">
        <x:v>Aturan screening awal</x:v>
      </x:c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</x:row>
    <x:row r="15">
      <x:c r="A15" s="68" t="str">
        <x:v>Batas outlier atas</x:v>
      </x:c>
      <x:c r="B15" s="80" t="n">
        <x:v>2.5</x:v>
      </x:c>
      <x:c r="C15" s="63" t="str">
        <x:v>x median</x:v>
      </x:c>
      <x:c r="D15" s="63" t="str">
        <x:v>ASUMSI</x:v>
      </x:c>
      <x:c r="E15" s="63" t="str">
        <x:v>Harga di atas 250% median lima iklan ditandai outlier.</x:v>
      </x:c>
      <x:c r="F15" s="63" t="str">
        <x:v>Aturan screening awal</x:v>
      </x:c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</x:row>
    <x:row r="16">
      <x:c r="A16" s="68" t="str">
        <x:v>Interval pembulatan NJOP bumi</x:v>
      </x:c>
      <x:c r="B16" s="81" t="n">
        <x:v>100000</x:v>
      </x:c>
      <x:c r="C16" s="63" t="str">
        <x:v>Rp/m²</x:v>
      </x:c>
      <x:c r="D16" s="63" t="str">
        <x:v>ASUMSI</x:v>
      </x:c>
      <x:c r="E16" s="63" t="str">
        <x:v>Pengganti sementara tabel kelas NJOP resmi yang tidak ditemukan sebagai data publik siap pakai.</x:v>
      </x:c>
      <x:c r="F16" s="63" t="str">
        <x:v>Wajib diganti klasifikasi Perwali</x:v>
      </x:c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</x:row>
    <x:row r="17">
      <x:c r="A17" s="68" t="str">
        <x:v>Luas tanah objek representatif</x:v>
      </x:c>
      <x:c r="B17" s="79" t="n">
        <x:v>120</x:v>
      </x:c>
      <x:c r="C17" s="63" t="str">
        <x:v>m²</x:v>
      </x:c>
      <x:c r="D17" s="63" t="str">
        <x:v>ASUMSI SKENARIO</x:v>
      </x:c>
      <x:c r="E17" s="63" t="str">
        <x:v>Bukan rata-rata statistik kota; hanya objek uji seragam.</x:v>
      </x:c>
      <x:c r="F17" s="63" t="str">
        <x:v>Asumsi pengguna</x:v>
      </x:c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</x:row>
    <x:row r="18">
      <x:c r="A18" s="68" t="str">
        <x:v>Luas bangunan objek representatif</x:v>
      </x:c>
      <x:c r="B18" s="79" t="n">
        <x:v>80</x:v>
      </x:c>
      <x:c r="C18" s="63" t="str">
        <x:v>m²</x:v>
      </x:c>
      <x:c r="D18" s="63" t="str">
        <x:v>ASUMSI SKENARIO</x:v>
      </x:c>
      <x:c r="E18" s="63" t="str">
        <x:v>Bukan inventaris SPOP/LSPOP.</x:v>
      </x:c>
      <x:c r="F18" s="63" t="str">
        <x:v>Asumsi pengguna</x:v>
      </x:c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</x:row>
    <x:row r="19">
      <x:c r="A19" s="68" t="str">
        <x:v>DBKB / biaya bangunan baru</x:v>
      </x:c>
      <x:c r="B19" s="81" t="n">
        <x:v>5000000</x:v>
      </x:c>
      <x:c r="C19" s="63" t="str">
        <x:v>Rp/m²</x:v>
      </x:c>
      <x:c r="D19" s="63" t="str">
        <x:v>ASUMSI</x:v>
      </x:c>
      <x:c r="E19" s="63" t="str">
        <x:v>DBKB/JPB resmi Surabaya tidak ditemukan dalam ekspor publik.</x:v>
      </x:c>
      <x:c r="F19" s="63" t="str">
        <x:v>Asumsi bangunan residensial standar</x:v>
      </x:c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</x:row>
    <x:row r="20">
      <x:c r="A20" s="68" t="str">
        <x:v>Penyusutan bangunan</x:v>
      </x:c>
      <x:c r="B20" s="78" t="n">
        <x:v>0.2</x:v>
      </x:c>
      <x:c r="C20" s="63" t="str">
        <x:v>%</x:v>
      </x:c>
      <x:c r="D20" s="63" t="str">
        <x:v>ASUMSI</x:v>
      </x:c>
      <x:c r="E20" s="63" t="str">
        <x:v>Umur/kondisi tiap bangunan tidak tersedia.</x:v>
      </x:c>
      <x:c r="F20" s="63" t="str">
        <x:v>Asumsi kondisi sedang</x:v>
      </x:c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</x:row>
    <x:row r="21">
      <x:c r="A21" s="68" t="str">
        <x:v>NJOPTKP</x:v>
      </x:c>
      <x:c r="B21" s="81" t="n">
        <x:v>15000000</x:v>
      </x:c>
      <x:c r="C21" s="63" t="str">
        <x:v>Rp/objek</x:v>
      </x:c>
      <x:c r="D21" s="63" t="str">
        <x:v>RESMI</x:v>
      </x:c>
      <x:c r="E21" s="63" t="str">
        <x:v>Diberikan pada satu objek per wajib pajak per tahun.</x:v>
      </x:c>
      <x:c r="F21" s="63" t="str">
        <x:v>Perda Surabaya 7/2023 Pasal 7</x:v>
      </x:c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</x:row>
    <x:row r="22">
      <x:c r="A22" s="68" t="str">
        <x:v>Persentase DPP</x:v>
      </x:c>
      <x:c r="B22" s="78" t="n">
        <x:v>0.2</x:v>
      </x:c>
      <x:c r="C22" s="63" t="str">
        <x:v>%</x:v>
      </x:c>
      <x:c r="D22" s="63" t="str">
        <x:v>ASUMSI KEBIJAKAN</x:v>
      </x:c>
      <x:c r="E22" s="63" t="str">
        <x:v>Perda mengizinkan 20%-100%; angka 20% dipakai untuk skenario minimum.</x:v>
      </x:c>
      <x:c r="F22" s="63" t="str">
        <x:v>Perda Surabaya 7/2023 Pasal 7</x:v>
      </x:c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</x:row>
    <x:row r="23">
      <x:c r="A23" s="63"/>
      <x:c r="B23" s="63"/>
      <x:c r="C23" s="63"/>
      <x:c r="D23" s="63"/>
      <x:c r="E23" s="63"/>
      <x:c r="F23" s="63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</x:row>
    <x:row r="24">
      <x:c r="A24" s="63"/>
      <x:c r="B24" s="63"/>
      <x:c r="C24" s="63"/>
      <x:c r="D24" s="63"/>
      <x:c r="E24" s="63"/>
      <x:c r="F24" s="63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</x:row>
    <x:row r="25">
      <x:c r="A25" s="63"/>
      <x:c r="B25" s="63"/>
      <x:c r="C25" s="63"/>
      <x:c r="D25" s="63"/>
      <x:c r="E25" s="63"/>
      <x:c r="F25" s="63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F1"/>
    <x:mergeCell ref="A2:F2"/>
  </x:mergeCells>
  <x:dataValidations count="6">
    <x:dataValidation type="list" sqref="B13">
      <x:formula1>"Mean,Median"</x:formula1>
    </x:dataValidation>
    <x:dataValidation type="decimal" operator="between" sqref="B8:B10">
      <x:formula1>0</x:formula1>
      <x:formula2>1</x:formula2>
    </x:dataValidation>
    <x:dataValidation type="decimal" operator="between" sqref="B12">
      <x:formula1>0</x:formula1>
      <x:formula2>1</x:formula2>
    </x:dataValidation>
    <x:dataValidation type="decimal" operator="between" sqref="B20">
      <x:formula1>0</x:formula1>
      <x:formula2>1</x:formula2>
    </x:dataValidation>
    <x:dataValidation type="decimal" operator="between" sqref="B22">
      <x:formula1>0</x:formula1>
      <x:formula2>1</x:formula2>
    </x:dataValidation>
    <x:dataValidation operator="between" sqref="B11">
      <x:formula1>1</x:formula1>
      <x:formula2>20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5" hidden="0" customWidth="1"/>
    <x:col min="4" max="4" width="18" hidden="0" customWidth="1"/>
    <x:col min="5" max="5" width="18" hidden="0" customWidth="1"/>
    <x:col min="6" max="6" width="20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23" hidden="0" customWidth="1"/>
    <x:col min="13" max="13" width="48" hidden="0" customWidth="1"/>
    <x:col min="14" max="14" width="18" hidden="0" customWidth="1"/>
    <x:col min="15" max="15" width="52" hidden="0" customWidth="1"/>
  </x:cols>
  <x:sheetData>
    <x:row r="1" ht="26" customHeight="1">
      <x:c r="A1" s="71" t="str">
        <x:v>Tahap 1 - Sampel dan Koreksi Harga Tanah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Lima observasi pertama yang terlihat pada halaman tanah per kecamatan. Harga penawaran dikoreksi ke indikasi nilai pada 1 Januari 2026. Data ini belum diverifikasi sebagai transaksi.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</x:row>
    <x:row r="6" ht="32" customHeight="1">
      <x:c r="A6" s="69" t="str">
        <x:v>Sample_ID</x:v>
      </x:c>
      <x:c r="B6" s="69" t="str">
        <x:v>Kecamatan</x:v>
      </x:c>
      <x:c r="C6" s="69" t="str">
        <x:v>Zona_Awal</x:v>
      </x:c>
      <x:c r="D6" s="69" t="str">
        <x:v>Tanggal_Observasi</x:v>
      </x:c>
      <x:c r="E6" s="69" t="str">
        <x:v>Jenis_Data</x:v>
      </x:c>
      <x:c r="F6" s="69" t="str">
        <x:v>Harga_Tawar_Rp_m2</x:v>
      </x:c>
      <x:c r="G6" s="69" t="str">
        <x:v>Koreksi_Tawar</x:v>
      </x:c>
      <x:c r="H6" s="69" t="str">
        <x:v>Selisih_Bulan</x:v>
      </x:c>
      <x:c r="I6" s="69" t="str">
        <x:v>Tren_Tahunan</x:v>
      </x:c>
      <x:c r="J6" s="69" t="str">
        <x:v>Koreksi_Hak</x:v>
      </x:c>
      <x:c r="K6" s="69" t="str">
        <x:v>Validasi_Outlier</x:v>
      </x:c>
      <x:c r="L6" s="69" t="str">
        <x:v>Nilai_Terkoreksi_Rp_m2</x:v>
      </x:c>
      <x:c r="M6" s="69" t="str">
        <x:v>Sumber</x:v>
      </x:c>
      <x:c r="N6" s="69" t="str">
        <x:v>Status_Data</x:v>
      </x:c>
      <x:c r="O6" s="69" t="str">
        <x:v>Catatan</x:v>
      </x:c>
      <x:c r="P6" s="64"/>
      <x:c r="Q6" s="64"/>
    </x:row>
    <x:row r="7">
      <x:c r="A7" s="63" t="str">
        <x:v>SBY-01-1</x:v>
      </x:c>
      <x:c r="B7" s="63" t="str">
        <x:v>Asemrowo</x:v>
      </x:c>
      <x:c r="C7" s="63" t="str">
        <x:v>ADM-Asemrowo</x:v>
      </x:c>
      <x:c r="D7" s="82" t="n">
        <x:v>46277</x:v>
      </x:c>
      <x:c r="E7" s="63" t="str">
        <x:v>Harga penawaran</x:v>
      </x:c>
      <x:c r="F7" s="83" t="n">
        <x:v>6420000</x:v>
      </x:c>
      <x:c r="G7" s="76" t="n">
        <x:f>Asumsi!$B$8</x:f>
        <x:v>0.1</x:v>
      </x:c>
      <x:c r="H7" s="84" t="n">
        <x:f>(D7-Asumsi!$B$6)/30.4375</x:f>
        <x:v>8.344969199178644</x:v>
      </x:c>
      <x:c r="I7" s="76" t="n">
        <x:f>Asumsi!$B$9</x:f>
        <x:v>0.05</x:v>
      </x:c>
      <x:c r="J7" s="76" t="n">
        <x:f>Asumsi!$B$10</x:f>
        <x:v>0</x:v>
      </x:c>
      <x:c r="K7" s="63" t="str">
        <x:f>IF(AND(F7&gt;=MEDIAN($F$7:$F$11)*Asumsi!$B$14,F7&lt;=MEDIAN($F$7:$F$11)*Asumsi!$B$15),"VALID","OUTLIER")</x:f>
        <x:v>VALID</x:v>
      </x:c>
      <x:c r="L7" s="85" t="n">
        <x:f>IF(COUNT(F7,G7,I7,J7)&lt;4,"",IF(K7="VALID",F7*(1-G7)/POWER(1+I7,H7/12)*(1+J7),""))</x:f>
        <x:v>5585244.636296641</x:v>
      </x:c>
      <x:c r="M7" s="63" t="str">
        <x:v>https://www.rumah123.com/jual/surabaya/asemrowo/tanah/</x:v>
      </x:c>
      <x:c r="N7" s="63" t="str">
        <x:v>PROKSI IKLAN</x:v>
      </x:c>
      <x:c r="O7" s="63" t="str">
        <x:v>Belum verifikasi transaksi, koordinat, hak, luas, dan duplikasi iklan.</x:v>
      </x:c>
      <x:c r="P7" s="64"/>
      <x:c r="Q7" s="64"/>
    </x:row>
    <x:row r="8">
      <x:c r="A8" s="63" t="str">
        <x:v>SBY-01-2</x:v>
      </x:c>
      <x:c r="B8" s="63" t="str">
        <x:v>Asemrowo</x:v>
      </x:c>
      <x:c r="C8" s="63" t="str">
        <x:v>ADM-Asemrowo</x:v>
      </x:c>
      <x:c r="D8" s="82" t="n">
        <x:v>46277</x:v>
      </x:c>
      <x:c r="E8" s="63" t="str">
        <x:v>Harga penawaran</x:v>
      </x:c>
      <x:c r="F8" s="83" t="n">
        <x:v>5500000</x:v>
      </x:c>
      <x:c r="G8" s="76" t="n">
        <x:f>Asumsi!$B$8</x:f>
        <x:v>0.1</x:v>
      </x:c>
      <x:c r="H8" s="84" t="n">
        <x:f>(D8-Asumsi!$B$6)/30.4375</x:f>
        <x:v>8.344969199178644</x:v>
      </x:c>
      <x:c r="I8" s="76" t="n">
        <x:f>Asumsi!$B$9</x:f>
        <x:v>0.05</x:v>
      </x:c>
      <x:c r="J8" s="76" t="n">
        <x:f>Asumsi!$B$10</x:f>
        <x:v>0</x:v>
      </x:c>
      <x:c r="K8" s="63" t="str">
        <x:f>IF(AND(F8&gt;=MEDIAN($F$7:$F$11)*Asumsi!$B$14,F8&lt;=MEDIAN($F$7:$F$11)*Asumsi!$B$15),"VALID","OUTLIER")</x:f>
        <x:v>VALID</x:v>
      </x:c>
      <x:c r="L8" s="85" t="n">
        <x:f>IF(COUNT(F8,G8,I8,J8)&lt;4,"",IF(K8="VALID",F8*(1-G8)/POWER(1+I8,H8/12)*(1+J8),""))</x:f>
        <x:v>4784866.900254132</x:v>
      </x:c>
      <x:c r="M8" s="63" t="str">
        <x:v>https://www.rumah123.com/jual/surabaya/asemrowo/tanah/</x:v>
      </x:c>
      <x:c r="N8" s="63" t="str">
        <x:v>PROKSI IKLAN</x:v>
      </x:c>
      <x:c r="O8" s="63" t="str">
        <x:v>Belum verifikasi transaksi, koordinat, hak, luas, dan duplikasi iklan.</x:v>
      </x:c>
      <x:c r="P8" s="64"/>
      <x:c r="Q8" s="64"/>
    </x:row>
    <x:row r="9">
      <x:c r="A9" s="63" t="str">
        <x:v>SBY-01-3</x:v>
      </x:c>
      <x:c r="B9" s="63" t="str">
        <x:v>Asemrowo</x:v>
      </x:c>
      <x:c r="C9" s="63" t="str">
        <x:v>ADM-Asemrowo</x:v>
      </x:c>
      <x:c r="D9" s="82" t="n">
        <x:v>46277</x:v>
      </x:c>
      <x:c r="E9" s="63" t="str">
        <x:v>Harga penawaran</x:v>
      </x:c>
      <x:c r="F9" s="83" t="n">
        <x:v>2500000</x:v>
      </x:c>
      <x:c r="G9" s="76" t="n">
        <x:f>Asumsi!$B$8</x:f>
        <x:v>0.1</x:v>
      </x:c>
      <x:c r="H9" s="84" t="n">
        <x:f>(D9-Asumsi!$B$6)/30.4375</x:f>
        <x:v>8.344969199178644</x:v>
      </x:c>
      <x:c r="I9" s="76" t="n">
        <x:f>Asumsi!$B$9</x:f>
        <x:v>0.05</x:v>
      </x:c>
      <x:c r="J9" s="76" t="n">
        <x:f>Asumsi!$B$10</x:f>
        <x:v>0</x:v>
      </x:c>
      <x:c r="K9" s="63" t="str">
        <x:f>IF(AND(F9&gt;=MEDIAN($F$7:$F$11)*Asumsi!$B$14,F9&lt;=MEDIAN($F$7:$F$11)*Asumsi!$B$15),"VALID","OUTLIER")</x:f>
        <x:v>VALID</x:v>
      </x:c>
      <x:c r="L9" s="85" t="n">
        <x:f>IF(COUNT(F9,G9,I9,J9)&lt;4,"",IF(K9="VALID",F9*(1-G9)/POWER(1+I9,H9/12)*(1+J9),""))</x:f>
        <x:v>2174939.5001155147</x:v>
      </x:c>
      <x:c r="M9" s="63" t="str">
        <x:v>https://www.rumah123.com/jual/surabaya/asemrowo/tanah/</x:v>
      </x:c>
      <x:c r="N9" s="63" t="str">
        <x:v>PROKSI IKLAN</x:v>
      </x:c>
      <x:c r="O9" s="63" t="str">
        <x:v>Belum verifikasi transaksi, koordinat, hak, luas, dan duplikasi iklan.</x:v>
      </x:c>
      <x:c r="P9" s="64"/>
      <x:c r="Q9" s="64"/>
    </x:row>
    <x:row r="10">
      <x:c r="A10" s="63" t="str">
        <x:v>SBY-01-4</x:v>
      </x:c>
      <x:c r="B10" s="63" t="str">
        <x:v>Asemrowo</x:v>
      </x:c>
      <x:c r="C10" s="63" t="str">
        <x:v>ADM-Asemrowo</x:v>
      </x:c>
      <x:c r="D10" s="82" t="n">
        <x:v>46277</x:v>
      </x:c>
      <x:c r="E10" s="63" t="str">
        <x:v>Harga penawaran</x:v>
      </x:c>
      <x:c r="F10" s="83" t="n">
        <x:v>9500000</x:v>
      </x:c>
      <x:c r="G10" s="76" t="n">
        <x:f>Asumsi!$B$8</x:f>
        <x:v>0.1</x:v>
      </x:c>
      <x:c r="H10" s="84" t="n">
        <x:f>(D10-Asumsi!$B$6)/30.4375</x:f>
        <x:v>8.344969199178644</x:v>
      </x:c>
      <x:c r="I10" s="76" t="n">
        <x:f>Asumsi!$B$9</x:f>
        <x:v>0.05</x:v>
      </x:c>
      <x:c r="J10" s="76" t="n">
        <x:f>Asumsi!$B$10</x:f>
        <x:v>0</x:v>
      </x:c>
      <x:c r="K10" s="63" t="str">
        <x:f>IF(AND(F10&gt;=MEDIAN($F$7:$F$11)*Asumsi!$B$14,F10&lt;=MEDIAN($F$7:$F$11)*Asumsi!$B$15),"VALID","OUTLIER")</x:f>
        <x:v>VALID</x:v>
      </x:c>
      <x:c r="L10" s="85" t="n">
        <x:f>IF(COUNT(F10,G10,I10,J10)&lt;4,"",IF(K10="VALID",F10*(1-G10)/POWER(1+I10,H10/12)*(1+J10),""))</x:f>
        <x:v>8264770.100438955</x:v>
      </x:c>
      <x:c r="M10" s="63" t="str">
        <x:v>https://www.rumah123.com/jual/surabaya/asemrowo/tanah/</x:v>
      </x:c>
      <x:c r="N10" s="63" t="str">
        <x:v>PROKSI IKLAN</x:v>
      </x:c>
      <x:c r="O10" s="63" t="str">
        <x:v>Belum verifikasi transaksi, koordinat, hak, luas, dan duplikasi iklan.</x:v>
      </x:c>
      <x:c r="P10" s="64"/>
      <x:c r="Q10" s="64"/>
    </x:row>
    <x:row r="11">
      <x:c r="A11" s="63" t="str">
        <x:v>SBY-01-5</x:v>
      </x:c>
      <x:c r="B11" s="63" t="str">
        <x:v>Asemrowo</x:v>
      </x:c>
      <x:c r="C11" s="63" t="str">
        <x:v>ADM-Asemrowo</x:v>
      </x:c>
      <x:c r="D11" s="82" t="n">
        <x:v>46277</x:v>
      </x:c>
      <x:c r="E11" s="63" t="str">
        <x:v>Harga penawaran</x:v>
      </x:c>
      <x:c r="F11" s="83" t="n">
        <x:v>3870000</x:v>
      </x:c>
      <x:c r="G11" s="76" t="n">
        <x:f>Asumsi!$B$8</x:f>
        <x:v>0.1</x:v>
      </x:c>
      <x:c r="H11" s="84" t="n">
        <x:f>(D11-Asumsi!$B$6)/30.4375</x:f>
        <x:v>8.344969199178644</x:v>
      </x:c>
      <x:c r="I11" s="76" t="n">
        <x:f>Asumsi!$B$9</x:f>
        <x:v>0.05</x:v>
      </x:c>
      <x:c r="J11" s="76" t="n">
        <x:f>Asumsi!$B$10</x:f>
        <x:v>0</x:v>
      </x:c>
      <x:c r="K11" s="63" t="str">
        <x:f>IF(AND(F11&gt;=MEDIAN($F$7:$F$11)*Asumsi!$B$14,F11&lt;=MEDIAN($F$7:$F$11)*Asumsi!$B$15),"VALID","OUTLIER")</x:f>
        <x:v>VALID</x:v>
      </x:c>
      <x:c r="L11" s="85" t="n">
        <x:f>IF(COUNT(F11,G11,I11,J11)&lt;4,"",IF(K11="VALID",F11*(1-G11)/POWER(1+I11,H11/12)*(1+J11),""))</x:f>
        <x:v>3366806.3461788166</x:v>
      </x:c>
      <x:c r="M11" s="63" t="str">
        <x:v>https://www.rumah123.com/jual/surabaya/asemrowo/tanah/</x:v>
      </x:c>
      <x:c r="N11" s="63" t="str">
        <x:v>PROKSI IKLAN</x:v>
      </x:c>
      <x:c r="O11" s="63" t="str">
        <x:v>Belum verifikasi transaksi, koordinat, hak, luas, dan duplikasi iklan.</x:v>
      </x:c>
      <x:c r="P11" s="64"/>
      <x:c r="Q11" s="64"/>
    </x:row>
    <x:row r="12">
      <x:c r="A12" s="63" t="str">
        <x:v>SBY-02-1</x:v>
      </x:c>
      <x:c r="B12" s="63" t="str">
        <x:v>Benowo</x:v>
      </x:c>
      <x:c r="C12" s="63" t="str">
        <x:v>ADM-Benowo</x:v>
      </x:c>
      <x:c r="D12" s="82" t="n">
        <x:v>46277</x:v>
      </x:c>
      <x:c r="E12" s="63" t="str">
        <x:v>Harga penawaran</x:v>
      </x:c>
      <x:c r="F12" s="83" t="n">
        <x:v>10000000</x:v>
      </x:c>
      <x:c r="G12" s="76" t="n">
        <x:f>Asumsi!$B$8</x:f>
        <x:v>0.1</x:v>
      </x:c>
      <x:c r="H12" s="84" t="n">
        <x:f>(D12-Asumsi!$B$6)/30.4375</x:f>
        <x:v>8.344969199178644</x:v>
      </x:c>
      <x:c r="I12" s="76" t="n">
        <x:f>Asumsi!$B$9</x:f>
        <x:v>0.05</x:v>
      </x:c>
      <x:c r="J12" s="76" t="n">
        <x:f>Asumsi!$B$10</x:f>
        <x:v>0</x:v>
      </x:c>
      <x:c r="K12" s="63" t="str">
        <x:f>IF(AND(F12&gt;=MEDIAN($F$12:$F$16)*Asumsi!$B$14,F12&lt;=MEDIAN($F$12:$F$16)*Asumsi!$B$15),"VALID","OUTLIER")</x:f>
        <x:v>VALID</x:v>
      </x:c>
      <x:c r="L12" s="85" t="n">
        <x:f>IF(COUNT(F12,G12,I12,J12)&lt;4,"",IF(K12="VALID",F12*(1-G12)/POWER(1+I12,H12/12)*(1+J12),""))</x:f>
        <x:v>8699758.000462059</x:v>
      </x:c>
      <x:c r="M12" s="63" t="str">
        <x:v>https://www.rumah123.com/jual/surabaya/benowo/tanah/</x:v>
      </x:c>
      <x:c r="N12" s="63" t="str">
        <x:v>PROKSI IKLAN</x:v>
      </x:c>
      <x:c r="O12" s="63" t="str">
        <x:v>Belum verifikasi transaksi, koordinat, hak, luas, dan duplikasi iklan.</x:v>
      </x:c>
      <x:c r="P12" s="64"/>
      <x:c r="Q12" s="64"/>
    </x:row>
    <x:row r="13">
      <x:c r="A13" s="63" t="str">
        <x:v>SBY-02-2</x:v>
      </x:c>
      <x:c r="B13" s="63" t="str">
        <x:v>Benowo</x:v>
      </x:c>
      <x:c r="C13" s="63" t="str">
        <x:v>ADM-Benowo</x:v>
      </x:c>
      <x:c r="D13" s="82" t="n">
        <x:v>46277</x:v>
      </x:c>
      <x:c r="E13" s="63" t="str">
        <x:v>Harga penawaran</x:v>
      </x:c>
      <x:c r="F13" s="83" t="n">
        <x:v>9500000</x:v>
      </x:c>
      <x:c r="G13" s="76" t="n">
        <x:f>Asumsi!$B$8</x:f>
        <x:v>0.1</x:v>
      </x:c>
      <x:c r="H13" s="84" t="n">
        <x:f>(D13-Asumsi!$B$6)/30.4375</x:f>
        <x:v>8.344969199178644</x:v>
      </x:c>
      <x:c r="I13" s="76" t="n">
        <x:f>Asumsi!$B$9</x:f>
        <x:v>0.05</x:v>
      </x:c>
      <x:c r="J13" s="76" t="n">
        <x:f>Asumsi!$B$10</x:f>
        <x:v>0</x:v>
      </x:c>
      <x:c r="K13" s="63" t="str">
        <x:f>IF(AND(F13&gt;=MEDIAN($F$12:$F$16)*Asumsi!$B$14,F13&lt;=MEDIAN($F$12:$F$16)*Asumsi!$B$15),"VALID","OUTLIER")</x:f>
        <x:v>VALID</x:v>
      </x:c>
      <x:c r="L13" s="85" t="n">
        <x:f>IF(COUNT(F13,G13,I13,J13)&lt;4,"",IF(K13="VALID",F13*(1-G13)/POWER(1+I13,H13/12)*(1+J13),""))</x:f>
        <x:v>8264770.100438955</x:v>
      </x:c>
      <x:c r="M13" s="63" t="str">
        <x:v>https://www.rumah123.com/jual/surabaya/benowo/tanah/</x:v>
      </x:c>
      <x:c r="N13" s="63" t="str">
        <x:v>PROKSI IKLAN</x:v>
      </x:c>
      <x:c r="O13" s="63" t="str">
        <x:v>Belum verifikasi transaksi, koordinat, hak, luas, dan duplikasi iklan.</x:v>
      </x:c>
      <x:c r="P13" s="64"/>
      <x:c r="Q13" s="64"/>
    </x:row>
    <x:row r="14">
      <x:c r="A14" s="63" t="str">
        <x:v>SBY-02-3</x:v>
      </x:c>
      <x:c r="B14" s="63" t="str">
        <x:v>Benowo</x:v>
      </x:c>
      <x:c r="C14" s="63" t="str">
        <x:v>ADM-Benowo</x:v>
      </x:c>
      <x:c r="D14" s="82" t="n">
        <x:v>46277</x:v>
      </x:c>
      <x:c r="E14" s="63" t="str">
        <x:v>Harga penawaran</x:v>
      </x:c>
      <x:c r="F14" s="83" t="n">
        <x:v>5500000</x:v>
      </x:c>
      <x:c r="G14" s="76" t="n">
        <x:f>Asumsi!$B$8</x:f>
        <x:v>0.1</x:v>
      </x:c>
      <x:c r="H14" s="84" t="n">
        <x:f>(D14-Asumsi!$B$6)/30.4375</x:f>
        <x:v>8.344969199178644</x:v>
      </x:c>
      <x:c r="I14" s="76" t="n">
        <x:f>Asumsi!$B$9</x:f>
        <x:v>0.05</x:v>
      </x:c>
      <x:c r="J14" s="76" t="n">
        <x:f>Asumsi!$B$10</x:f>
        <x:v>0</x:v>
      </x:c>
      <x:c r="K14" s="63" t="str">
        <x:f>IF(AND(F14&gt;=MEDIAN($F$12:$F$16)*Asumsi!$B$14,F14&lt;=MEDIAN($F$12:$F$16)*Asumsi!$B$15),"VALID","OUTLIER")</x:f>
        <x:v>VALID</x:v>
      </x:c>
      <x:c r="L14" s="85" t="n">
        <x:f>IF(COUNT(F14,G14,I14,J14)&lt;4,"",IF(K14="VALID",F14*(1-G14)/POWER(1+I14,H14/12)*(1+J14),""))</x:f>
        <x:v>4784866.900254132</x:v>
      </x:c>
      <x:c r="M14" s="63" t="str">
        <x:v>https://www.rumah123.com/jual/surabaya/benowo/tanah/</x:v>
      </x:c>
      <x:c r="N14" s="63" t="str">
        <x:v>PROKSI IKLAN</x:v>
      </x:c>
      <x:c r="O14" s="63" t="str">
        <x:v>Belum verifikasi transaksi, koordinat, hak, luas, dan duplikasi iklan.</x:v>
      </x:c>
      <x:c r="P14" s="64"/>
      <x:c r="Q14" s="64"/>
    </x:row>
    <x:row r="15">
      <x:c r="A15" s="63" t="str">
        <x:v>SBY-02-4</x:v>
      </x:c>
      <x:c r="B15" s="63" t="str">
        <x:v>Benowo</x:v>
      </x:c>
      <x:c r="C15" s="63" t="str">
        <x:v>ADM-Benowo</x:v>
      </x:c>
      <x:c r="D15" s="82" t="n">
        <x:v>46277</x:v>
      </x:c>
      <x:c r="E15" s="63" t="str">
        <x:v>Harga penawaran</x:v>
      </x:c>
      <x:c r="F15" s="83" t="n">
        <x:v>3250000</x:v>
      </x:c>
      <x:c r="G15" s="76" t="n">
        <x:f>Asumsi!$B$8</x:f>
        <x:v>0.1</x:v>
      </x:c>
      <x:c r="H15" s="84" t="n">
        <x:f>(D15-Asumsi!$B$6)/30.4375</x:f>
        <x:v>8.344969199178644</x:v>
      </x:c>
      <x:c r="I15" s="76" t="n">
        <x:f>Asumsi!$B$9</x:f>
        <x:v>0.05</x:v>
      </x:c>
      <x:c r="J15" s="76" t="n">
        <x:f>Asumsi!$B$10</x:f>
        <x:v>0</x:v>
      </x:c>
      <x:c r="K15" s="63" t="str">
        <x:f>IF(AND(F15&gt;=MEDIAN($F$12:$F$16)*Asumsi!$B$14,F15&lt;=MEDIAN($F$12:$F$16)*Asumsi!$B$15),"VALID","OUTLIER")</x:f>
        <x:v>VALID</x:v>
      </x:c>
      <x:c r="L15" s="85" t="n">
        <x:f>IF(COUNT(F15,G15,I15,J15)&lt;4,"",IF(K15="VALID",F15*(1-G15)/POWER(1+I15,H15/12)*(1+J15),""))</x:f>
        <x:v>2827421.350150169</x:v>
      </x:c>
      <x:c r="M15" s="63" t="str">
        <x:v>https://www.rumah123.com/jual/surabaya/benowo/tanah/</x:v>
      </x:c>
      <x:c r="N15" s="63" t="str">
        <x:v>PROKSI IKLAN</x:v>
      </x:c>
      <x:c r="O15" s="63" t="str">
        <x:v>Belum verifikasi transaksi, koordinat, hak, luas, dan duplikasi iklan.</x:v>
      </x:c>
      <x:c r="P15" s="64"/>
      <x:c r="Q15" s="64"/>
    </x:row>
    <x:row r="16">
      <x:c r="A16" s="63" t="str">
        <x:v>SBY-02-5</x:v>
      </x:c>
      <x:c r="B16" s="63" t="str">
        <x:v>Benowo</x:v>
      </x:c>
      <x:c r="C16" s="63" t="str">
        <x:v>ADM-Benowo</x:v>
      </x:c>
      <x:c r="D16" s="82" t="n">
        <x:v>46277</x:v>
      </x:c>
      <x:c r="E16" s="63" t="str">
        <x:v>Harga penawaran</x:v>
      </x:c>
      <x:c r="F16" s="83" t="n">
        <x:v>3250000</x:v>
      </x:c>
      <x:c r="G16" s="76" t="n">
        <x:f>Asumsi!$B$8</x:f>
        <x:v>0.1</x:v>
      </x:c>
      <x:c r="H16" s="84" t="n">
        <x:f>(D16-Asumsi!$B$6)/30.4375</x:f>
        <x:v>8.344969199178644</x:v>
      </x:c>
      <x:c r="I16" s="76" t="n">
        <x:f>Asumsi!$B$9</x:f>
        <x:v>0.05</x:v>
      </x:c>
      <x:c r="J16" s="76" t="n">
        <x:f>Asumsi!$B$10</x:f>
        <x:v>0</x:v>
      </x:c>
      <x:c r="K16" s="63" t="str">
        <x:f>IF(AND(F16&gt;=MEDIAN($F$12:$F$16)*Asumsi!$B$14,F16&lt;=MEDIAN($F$12:$F$16)*Asumsi!$B$15),"VALID","OUTLIER")</x:f>
        <x:v>VALID</x:v>
      </x:c>
      <x:c r="L16" s="85" t="n">
        <x:f>IF(COUNT(F16,G16,I16,J16)&lt;4,"",IF(K16="VALID",F16*(1-G16)/POWER(1+I16,H16/12)*(1+J16),""))</x:f>
        <x:v>2827421.350150169</x:v>
      </x:c>
      <x:c r="M16" s="63" t="str">
        <x:v>https://www.rumah123.com/jual/surabaya/benowo/tanah/</x:v>
      </x:c>
      <x:c r="N16" s="63" t="str">
        <x:v>PROKSI IKLAN</x:v>
      </x:c>
      <x:c r="O16" s="63" t="str">
        <x:v>Belum verifikasi transaksi, koordinat, hak, luas, dan duplikasi iklan.</x:v>
      </x:c>
      <x:c r="P16" s="64"/>
      <x:c r="Q16" s="64"/>
    </x:row>
    <x:row r="17">
      <x:c r="A17" s="63" t="str">
        <x:v>SBY-03-1</x:v>
      </x:c>
      <x:c r="B17" s="63" t="str">
        <x:v>Bubutan</x:v>
      </x:c>
      <x:c r="C17" s="63" t="str">
        <x:v>ADM-Bubutan</x:v>
      </x:c>
      <x:c r="D17" s="82" t="n">
        <x:v>46277</x:v>
      </x:c>
      <x:c r="E17" s="63" t="str">
        <x:v>Harga penawaran</x:v>
      </x:c>
      <x:c r="F17" s="83" t="n">
        <x:v>23300000</x:v>
      </x:c>
      <x:c r="G17" s="76" t="n">
        <x:f>Asumsi!$B$8</x:f>
        <x:v>0.1</x:v>
      </x:c>
      <x:c r="H17" s="84" t="n">
        <x:f>(D17-Asumsi!$B$6)/30.4375</x:f>
        <x:v>8.344969199178644</x:v>
      </x:c>
      <x:c r="I17" s="76" t="n">
        <x:f>Asumsi!$B$9</x:f>
        <x:v>0.05</x:v>
      </x:c>
      <x:c r="J17" s="76" t="n">
        <x:f>Asumsi!$B$10</x:f>
        <x:v>0</x:v>
      </x:c>
      <x:c r="K17" s="63" t="str">
        <x:f>IF(AND(F17&gt;=MEDIAN($F$17:$F$21)*Asumsi!$B$14,F17&lt;=MEDIAN($F$17:$F$21)*Asumsi!$B$15),"VALID","OUTLIER")</x:f>
        <x:v>VALID</x:v>
      </x:c>
      <x:c r="L17" s="85" t="n">
        <x:f>IF(COUNT(F17,G17,I17,J17)&lt;4,"",IF(K17="VALID",F17*(1-G17)/POWER(1+I17,H17/12)*(1+J17),""))</x:f>
        <x:v>20270436.141076595</x:v>
      </x:c>
      <x:c r="M17" s="63" t="str">
        <x:v>https://www.rumah123.com/jual/surabaya/bubutan/tanah/</x:v>
      </x:c>
      <x:c r="N17" s="63" t="str">
        <x:v>PROKSI IKLAN</x:v>
      </x:c>
      <x:c r="O17" s="63" t="str">
        <x:v>Belum verifikasi transaksi, koordinat, hak, luas, dan duplikasi iklan.</x:v>
      </x:c>
      <x:c r="P17" s="64"/>
      <x:c r="Q17" s="64"/>
    </x:row>
    <x:row r="18">
      <x:c r="A18" s="63" t="str">
        <x:v>SBY-03-2</x:v>
      </x:c>
      <x:c r="B18" s="63" t="str">
        <x:v>Bubutan</x:v>
      </x:c>
      <x:c r="C18" s="63" t="str">
        <x:v>ADM-Bubutan</x:v>
      </x:c>
      <x:c r="D18" s="82" t="n">
        <x:v>46277</x:v>
      </x:c>
      <x:c r="E18" s="63" t="str">
        <x:v>Harga penawaran</x:v>
      </x:c>
      <x:c r="F18" s="83" t="n">
        <x:v>12000000</x:v>
      </x:c>
      <x:c r="G18" s="76" t="n">
        <x:f>Asumsi!$B$8</x:f>
        <x:v>0.1</x:v>
      </x:c>
      <x:c r="H18" s="84" t="n">
        <x:f>(D18-Asumsi!$B$6)/30.4375</x:f>
        <x:v>8.344969199178644</x:v>
      </x:c>
      <x:c r="I18" s="76" t="n">
        <x:f>Asumsi!$B$9</x:f>
        <x:v>0.05</x:v>
      </x:c>
      <x:c r="J18" s="76" t="n">
        <x:f>Asumsi!$B$10</x:f>
        <x:v>0</x:v>
      </x:c>
      <x:c r="K18" s="63" t="str">
        <x:f>IF(AND(F18&gt;=MEDIAN($F$17:$F$21)*Asumsi!$B$14,F18&lt;=MEDIAN($F$17:$F$21)*Asumsi!$B$15),"VALID","OUTLIER")</x:f>
        <x:v>VALID</x:v>
      </x:c>
      <x:c r="L18" s="85" t="n">
        <x:f>IF(COUNT(F18,G18,I18,J18)&lt;4,"",IF(K18="VALID",F18*(1-G18)/POWER(1+I18,H18/12)*(1+J18),""))</x:f>
        <x:v>10439709.60055447</x:v>
      </x:c>
      <x:c r="M18" s="63" t="str">
        <x:v>https://www.rumah123.com/jual/surabaya/bubutan/tanah/</x:v>
      </x:c>
      <x:c r="N18" s="63" t="str">
        <x:v>PROKSI IKLAN</x:v>
      </x:c>
      <x:c r="O18" s="63" t="str">
        <x:v>Belum verifikasi transaksi, koordinat, hak, luas, dan duplikasi iklan.</x:v>
      </x:c>
      <x:c r="P18" s="64"/>
      <x:c r="Q18" s="64"/>
    </x:row>
    <x:row r="19">
      <x:c r="A19" s="63" t="str">
        <x:v>SBY-03-3</x:v>
      </x:c>
      <x:c r="B19" s="63" t="str">
        <x:v>Bubutan</x:v>
      </x:c>
      <x:c r="C19" s="63" t="str">
        <x:v>ADM-Bubutan</x:v>
      </x:c>
      <x:c r="D19" s="82" t="n">
        <x:v>46277</x:v>
      </x:c>
      <x:c r="E19" s="63" t="str">
        <x:v>Harga penawaran</x:v>
      </x:c>
      <x:c r="F19" s="83" t="n">
        <x:v>20000000</x:v>
      </x:c>
      <x:c r="G19" s="76" t="n">
        <x:f>Asumsi!$B$8</x:f>
        <x:v>0.1</x:v>
      </x:c>
      <x:c r="H19" s="84" t="n">
        <x:f>(D19-Asumsi!$B$6)/30.4375</x:f>
        <x:v>8.344969199178644</x:v>
      </x:c>
      <x:c r="I19" s="76" t="n">
        <x:f>Asumsi!$B$9</x:f>
        <x:v>0.05</x:v>
      </x:c>
      <x:c r="J19" s="76" t="n">
        <x:f>Asumsi!$B$10</x:f>
        <x:v>0</x:v>
      </x:c>
      <x:c r="K19" s="63" t="str">
        <x:f>IF(AND(F19&gt;=MEDIAN($F$17:$F$21)*Asumsi!$B$14,F19&lt;=MEDIAN($F$17:$F$21)*Asumsi!$B$15),"VALID","OUTLIER")</x:f>
        <x:v>VALID</x:v>
      </x:c>
      <x:c r="L19" s="85" t="n">
        <x:f>IF(COUNT(F19,G19,I19,J19)&lt;4,"",IF(K19="VALID",F19*(1-G19)/POWER(1+I19,H19/12)*(1+J19),""))</x:f>
        <x:v>17399516.000924118</x:v>
      </x:c>
      <x:c r="M19" s="63" t="str">
        <x:v>https://www.rumah123.com/jual/surabaya/bubutan/tanah/</x:v>
      </x:c>
      <x:c r="N19" s="63" t="str">
        <x:v>PROKSI IKLAN</x:v>
      </x:c>
      <x:c r="O19" s="63" t="str">
        <x:v>Belum verifikasi transaksi, koordinat, hak, luas, dan duplikasi iklan.</x:v>
      </x:c>
      <x:c r="P19" s="64"/>
      <x:c r="Q19" s="64"/>
    </x:row>
    <x:row r="20">
      <x:c r="A20" s="63" t="str">
        <x:v>SBY-03-4</x:v>
      </x:c>
      <x:c r="B20" s="63" t="str">
        <x:v>Bubutan</x:v>
      </x:c>
      <x:c r="C20" s="63" t="str">
        <x:v>ADM-Bubutan</x:v>
      </x:c>
      <x:c r="D20" s="82" t="n">
        <x:v>46277</x:v>
      </x:c>
      <x:c r="E20" s="63" t="str">
        <x:v>Harga penawaran</x:v>
      </x:c>
      <x:c r="F20" s="83" t="n">
        <x:v>25000000</x:v>
      </x:c>
      <x:c r="G20" s="76" t="n">
        <x:f>Asumsi!$B$8</x:f>
        <x:v>0.1</x:v>
      </x:c>
      <x:c r="H20" s="84" t="n">
        <x:f>(D20-Asumsi!$B$6)/30.4375</x:f>
        <x:v>8.344969199178644</x:v>
      </x:c>
      <x:c r="I20" s="76" t="n">
        <x:f>Asumsi!$B$9</x:f>
        <x:v>0.05</x:v>
      </x:c>
      <x:c r="J20" s="76" t="n">
        <x:f>Asumsi!$B$10</x:f>
        <x:v>0</x:v>
      </x:c>
      <x:c r="K20" s="63" t="str">
        <x:f>IF(AND(F20&gt;=MEDIAN($F$17:$F$21)*Asumsi!$B$14,F20&lt;=MEDIAN($F$17:$F$21)*Asumsi!$B$15),"VALID","OUTLIER")</x:f>
        <x:v>VALID</x:v>
      </x:c>
      <x:c r="L20" s="85" t="n">
        <x:f>IF(COUNT(F20,G20,I20,J20)&lt;4,"",IF(K20="VALID",F20*(1-G20)/POWER(1+I20,H20/12)*(1+J20),""))</x:f>
        <x:v>21749395.001155145</x:v>
      </x:c>
      <x:c r="M20" s="63" t="str">
        <x:v>https://www.rumah123.com/jual/surabaya/bubutan/tanah/</x:v>
      </x:c>
      <x:c r="N20" s="63" t="str">
        <x:v>PROKSI IKLAN</x:v>
      </x:c>
      <x:c r="O20" s="63" t="str">
        <x:v>Belum verifikasi transaksi, koordinat, hak, luas, dan duplikasi iklan.</x:v>
      </x:c>
      <x:c r="P20" s="64"/>
      <x:c r="Q20" s="64"/>
    </x:row>
    <x:row r="21">
      <x:c r="A21" s="63" t="str">
        <x:v>SBY-03-5</x:v>
      </x:c>
      <x:c r="B21" s="63" t="str">
        <x:v>Bubutan</x:v>
      </x:c>
      <x:c r="C21" s="63" t="str">
        <x:v>ADM-Bubutan</x:v>
      </x:c>
      <x:c r="D21" s="82" t="n">
        <x:v>46277</x:v>
      </x:c>
      <x:c r="E21" s="63" t="str">
        <x:v>Harga penawaran</x:v>
      </x:c>
      <x:c r="F21" s="83" t="n">
        <x:v>21000000</x:v>
      </x:c>
      <x:c r="G21" s="76" t="n">
        <x:f>Asumsi!$B$8</x:f>
        <x:v>0.1</x:v>
      </x:c>
      <x:c r="H21" s="84" t="n">
        <x:f>(D21-Asumsi!$B$6)/30.4375</x:f>
        <x:v>8.344969199178644</x:v>
      </x:c>
      <x:c r="I21" s="76" t="n">
        <x:f>Asumsi!$B$9</x:f>
        <x:v>0.05</x:v>
      </x:c>
      <x:c r="J21" s="76" t="n">
        <x:f>Asumsi!$B$10</x:f>
        <x:v>0</x:v>
      </x:c>
      <x:c r="K21" s="63" t="str">
        <x:f>IF(AND(F21&gt;=MEDIAN($F$17:$F$21)*Asumsi!$B$14,F21&lt;=MEDIAN($F$17:$F$21)*Asumsi!$B$15),"VALID","OUTLIER")</x:f>
        <x:v>VALID</x:v>
      </x:c>
      <x:c r="L21" s="85" t="n">
        <x:f>IF(COUNT(F21,G21,I21,J21)&lt;4,"",IF(K21="VALID",F21*(1-G21)/POWER(1+I21,H21/12)*(1+J21),""))</x:f>
        <x:v>18269491.800970323</x:v>
      </x:c>
      <x:c r="M21" s="63" t="str">
        <x:v>https://www.rumah123.com/jual/surabaya/bubutan/tanah/</x:v>
      </x:c>
      <x:c r="N21" s="63" t="str">
        <x:v>PROKSI IKLAN</x:v>
      </x:c>
      <x:c r="O21" s="63" t="str">
        <x:v>Belum verifikasi transaksi, koordinat, hak, luas, dan duplikasi iklan.</x:v>
      </x:c>
      <x:c r="P21" s="64"/>
      <x:c r="Q21" s="64"/>
    </x:row>
    <x:row r="22">
      <x:c r="A22" s="63" t="str">
        <x:v>SBY-04-1</x:v>
      </x:c>
      <x:c r="B22" s="63" t="str">
        <x:v>Bulak</x:v>
      </x:c>
      <x:c r="C22" s="63" t="str">
        <x:v>ADM-Bulak</x:v>
      </x:c>
      <x:c r="D22" s="82" t="n">
        <x:v>46277</x:v>
      </x:c>
      <x:c r="E22" s="63" t="str">
        <x:v>Harga penawaran</x:v>
      </x:c>
      <x:c r="F22" s="83" t="n">
        <x:v>6250000</x:v>
      </x:c>
      <x:c r="G22" s="76" t="n">
        <x:f>Asumsi!$B$8</x:f>
        <x:v>0.1</x:v>
      </x:c>
      <x:c r="H22" s="84" t="n">
        <x:f>(D22-Asumsi!$B$6)/30.4375</x:f>
        <x:v>8.344969199178644</x:v>
      </x:c>
      <x:c r="I22" s="76" t="n">
        <x:f>Asumsi!$B$9</x:f>
        <x:v>0.05</x:v>
      </x:c>
      <x:c r="J22" s="76" t="n">
        <x:f>Asumsi!$B$10</x:f>
        <x:v>0</x:v>
      </x:c>
      <x:c r="K22" s="63" t="str">
        <x:f>IF(AND(F22&gt;=MEDIAN($F$22:$F$26)*Asumsi!$B$14,F22&lt;=MEDIAN($F$22:$F$26)*Asumsi!$B$15),"VALID","OUTLIER")</x:f>
        <x:v>VALID</x:v>
      </x:c>
      <x:c r="L22" s="85" t="n">
        <x:f>IF(COUNT(F22,G22,I22,J22)&lt;4,"",IF(K22="VALID",F22*(1-G22)/POWER(1+I22,H22/12)*(1+J22),""))</x:f>
        <x:v>5437348.750288786</x:v>
      </x:c>
      <x:c r="M22" s="63" t="str">
        <x:v>https://www.rumah123.com/jual/surabaya/bulak/tanah/</x:v>
      </x:c>
      <x:c r="N22" s="63" t="str">
        <x:v>PROKSI IKLAN</x:v>
      </x:c>
      <x:c r="O22" s="63" t="str">
        <x:v>Belum verifikasi transaksi, koordinat, hak, luas, dan duplikasi iklan.</x:v>
      </x:c>
      <x:c r="P22" s="64"/>
      <x:c r="Q22" s="64"/>
    </x:row>
    <x:row r="23">
      <x:c r="A23" s="63" t="str">
        <x:v>SBY-04-2</x:v>
      </x:c>
      <x:c r="B23" s="63" t="str">
        <x:v>Bulak</x:v>
      </x:c>
      <x:c r="C23" s="63" t="str">
        <x:v>ADM-Bulak</x:v>
      </x:c>
      <x:c r="D23" s="82" t="n">
        <x:v>46277</x:v>
      </x:c>
      <x:c r="E23" s="63" t="str">
        <x:v>Harga penawaran</x:v>
      </x:c>
      <x:c r="F23" s="83" t="n">
        <x:v>10800000</x:v>
      </x:c>
      <x:c r="G23" s="76" t="n">
        <x:f>Asumsi!$B$8</x:f>
        <x:v>0.1</x:v>
      </x:c>
      <x:c r="H23" s="84" t="n">
        <x:f>(D23-Asumsi!$B$6)/30.4375</x:f>
        <x:v>8.344969199178644</x:v>
      </x:c>
      <x:c r="I23" s="76" t="n">
        <x:f>Asumsi!$B$9</x:f>
        <x:v>0.05</x:v>
      </x:c>
      <x:c r="J23" s="76" t="n">
        <x:f>Asumsi!$B$10</x:f>
        <x:v>0</x:v>
      </x:c>
      <x:c r="K23" s="63" t="str">
        <x:f>IF(AND(F23&gt;=MEDIAN($F$22:$F$26)*Asumsi!$B$14,F23&lt;=MEDIAN($F$22:$F$26)*Asumsi!$B$15),"VALID","OUTLIER")</x:f>
        <x:v>VALID</x:v>
      </x:c>
      <x:c r="L23" s="85" t="n">
        <x:f>IF(COUNT(F23,G23,I23,J23)&lt;4,"",IF(K23="VALID",F23*(1-G23)/POWER(1+I23,H23/12)*(1+J23),""))</x:f>
        <x:v>9395738.640499024</x:v>
      </x:c>
      <x:c r="M23" s="63" t="str">
        <x:v>https://www.rumah123.com/jual/surabaya/bulak/tanah/</x:v>
      </x:c>
      <x:c r="N23" s="63" t="str">
        <x:v>PROKSI IKLAN</x:v>
      </x:c>
      <x:c r="O23" s="63" t="str">
        <x:v>Belum verifikasi transaksi, koordinat, hak, luas, dan duplikasi iklan.</x:v>
      </x:c>
      <x:c r="P23" s="64"/>
      <x:c r="Q23" s="64"/>
    </x:row>
    <x:row r="24">
      <x:c r="A24" s="63" t="str">
        <x:v>SBY-04-3</x:v>
      </x:c>
      <x:c r="B24" s="63" t="str">
        <x:v>Bulak</x:v>
      </x:c>
      <x:c r="C24" s="63" t="str">
        <x:v>ADM-Bulak</x:v>
      </x:c>
      <x:c r="D24" s="82" t="n">
        <x:v>46277</x:v>
      </x:c>
      <x:c r="E24" s="63" t="str">
        <x:v>Harga penawaran</x:v>
      </x:c>
      <x:c r="F24" s="83" t="n">
        <x:v>10000000</x:v>
      </x:c>
      <x:c r="G24" s="76" t="n">
        <x:f>Asumsi!$B$8</x:f>
        <x:v>0.1</x:v>
      </x:c>
      <x:c r="H24" s="84" t="n">
        <x:f>(D24-Asumsi!$B$6)/30.4375</x:f>
        <x:v>8.344969199178644</x:v>
      </x:c>
      <x:c r="I24" s="76" t="n">
        <x:f>Asumsi!$B$9</x:f>
        <x:v>0.05</x:v>
      </x:c>
      <x:c r="J24" s="76" t="n">
        <x:f>Asumsi!$B$10</x:f>
        <x:v>0</x:v>
      </x:c>
      <x:c r="K24" s="63" t="str">
        <x:f>IF(AND(F24&gt;=MEDIAN($F$22:$F$26)*Asumsi!$B$14,F24&lt;=MEDIAN($F$22:$F$26)*Asumsi!$B$15),"VALID","OUTLIER")</x:f>
        <x:v>VALID</x:v>
      </x:c>
      <x:c r="L24" s="85" t="n">
        <x:f>IF(COUNT(F24,G24,I24,J24)&lt;4,"",IF(K24="VALID",F24*(1-G24)/POWER(1+I24,H24/12)*(1+J24),""))</x:f>
        <x:v>8699758.000462059</x:v>
      </x:c>
      <x:c r="M24" s="63" t="str">
        <x:v>https://www.rumah123.com/jual/surabaya/bulak/tanah/</x:v>
      </x:c>
      <x:c r="N24" s="63" t="str">
        <x:v>PROKSI IKLAN</x:v>
      </x:c>
      <x:c r="O24" s="63" t="str">
        <x:v>Belum verifikasi transaksi, koordinat, hak, luas, dan duplikasi iklan.</x:v>
      </x:c>
      <x:c r="P24" s="64"/>
      <x:c r="Q24" s="64"/>
    </x:row>
    <x:row r="25">
      <x:c r="A25" s="63" t="str">
        <x:v>SBY-04-4</x:v>
      </x:c>
      <x:c r="B25" s="63" t="str">
        <x:v>Bulak</x:v>
      </x:c>
      <x:c r="C25" s="63" t="str">
        <x:v>ADM-Bulak</x:v>
      </x:c>
      <x:c r="D25" s="82" t="n">
        <x:v>46277</x:v>
      </x:c>
      <x:c r="E25" s="63" t="str">
        <x:v>Harga penawaran</x:v>
      </x:c>
      <x:c r="F25" s="83" t="n">
        <x:v>6500000</x:v>
      </x:c>
      <x:c r="G25" s="76" t="n">
        <x:f>Asumsi!$B$8</x:f>
        <x:v>0.1</x:v>
      </x:c>
      <x:c r="H25" s="84" t="n">
        <x:f>(D25-Asumsi!$B$6)/30.4375</x:f>
        <x:v>8.344969199178644</x:v>
      </x:c>
      <x:c r="I25" s="76" t="n">
        <x:f>Asumsi!$B$9</x:f>
        <x:v>0.05</x:v>
      </x:c>
      <x:c r="J25" s="76" t="n">
        <x:f>Asumsi!$B$10</x:f>
        <x:v>0</x:v>
      </x:c>
      <x:c r="K25" s="63" t="str">
        <x:f>IF(AND(F25&gt;=MEDIAN($F$22:$F$26)*Asumsi!$B$14,F25&lt;=MEDIAN($F$22:$F$26)*Asumsi!$B$15),"VALID","OUTLIER")</x:f>
        <x:v>VALID</x:v>
      </x:c>
      <x:c r="L25" s="85" t="n">
        <x:f>IF(COUNT(F25,G25,I25,J25)&lt;4,"",IF(K25="VALID",F25*(1-G25)/POWER(1+I25,H25/12)*(1+J25),""))</x:f>
        <x:v>5654842.700300338</x:v>
      </x:c>
      <x:c r="M25" s="63" t="str">
        <x:v>https://www.rumah123.com/jual/surabaya/bulak/tanah/</x:v>
      </x:c>
      <x:c r="N25" s="63" t="str">
        <x:v>PROKSI IKLAN</x:v>
      </x:c>
      <x:c r="O25" s="63" t="str">
        <x:v>Belum verifikasi transaksi, koordinat, hak, luas, dan duplikasi iklan.</x:v>
      </x:c>
      <x:c r="P25" s="64"/>
      <x:c r="Q25" s="64"/>
    </x:row>
    <x:row r="26">
      <x:c r="A26" s="63" t="str">
        <x:v>SBY-04-5</x:v>
      </x:c>
      <x:c r="B26" s="63" t="str">
        <x:v>Bulak</x:v>
      </x:c>
      <x:c r="C26" s="63" t="str">
        <x:v>ADM-Bulak</x:v>
      </x:c>
      <x:c r="D26" s="82" t="n">
        <x:v>46277</x:v>
      </x:c>
      <x:c r="E26" s="63" t="str">
        <x:v>Harga penawaran</x:v>
      </x:c>
      <x:c r="F26" s="83" t="n">
        <x:v>10000000</x:v>
      </x:c>
      <x:c r="G26" s="76" t="n">
        <x:f>Asumsi!$B$8</x:f>
        <x:v>0.1</x:v>
      </x:c>
      <x:c r="H26" s="84" t="n">
        <x:f>(D26-Asumsi!$B$6)/30.4375</x:f>
        <x:v>8.344969199178644</x:v>
      </x:c>
      <x:c r="I26" s="76" t="n">
        <x:f>Asumsi!$B$9</x:f>
        <x:v>0.05</x:v>
      </x:c>
      <x:c r="J26" s="76" t="n">
        <x:f>Asumsi!$B$10</x:f>
        <x:v>0</x:v>
      </x:c>
      <x:c r="K26" s="63" t="str">
        <x:f>IF(AND(F26&gt;=MEDIAN($F$22:$F$26)*Asumsi!$B$14,F26&lt;=MEDIAN($F$22:$F$26)*Asumsi!$B$15),"VALID","OUTLIER")</x:f>
        <x:v>VALID</x:v>
      </x:c>
      <x:c r="L26" s="85" t="n">
        <x:f>IF(COUNT(F26,G26,I26,J26)&lt;4,"",IF(K26="VALID",F26*(1-G26)/POWER(1+I26,H26/12)*(1+J26),""))</x:f>
        <x:v>8699758.000462059</x:v>
      </x:c>
      <x:c r="M26" s="63" t="str">
        <x:v>https://www.rumah123.com/jual/surabaya/bulak/tanah/</x:v>
      </x:c>
      <x:c r="N26" s="63" t="str">
        <x:v>PROKSI IKLAN</x:v>
      </x:c>
      <x:c r="O26" s="63" t="str">
        <x:v>Belum verifikasi transaksi, koordinat, hak, luas, dan duplikasi iklan.</x:v>
      </x:c>
      <x:c r="P26" s="64"/>
      <x:c r="Q26" s="64"/>
    </x:row>
    <x:row r="27">
      <x:c r="A27" s="63" t="str">
        <x:v>SBY-05-1</x:v>
      </x:c>
      <x:c r="B27" s="63" t="str">
        <x:v>Dukuh Pakis</x:v>
      </x:c>
      <x:c r="C27" s="63" t="str">
        <x:v>ADM-Dukuh Pakis</x:v>
      </x:c>
      <x:c r="D27" s="82" t="n">
        <x:v>46277</x:v>
      </x:c>
      <x:c r="E27" s="63" t="str">
        <x:v>Harga penawaran</x:v>
      </x:c>
      <x:c r="F27" s="83" t="n">
        <x:v>36000000</x:v>
      </x:c>
      <x:c r="G27" s="76" t="n">
        <x:f>Asumsi!$B$8</x:f>
        <x:v>0.1</x:v>
      </x:c>
      <x:c r="H27" s="84" t="n">
        <x:f>(D27-Asumsi!$B$6)/30.4375</x:f>
        <x:v>8.344969199178644</x:v>
      </x:c>
      <x:c r="I27" s="76" t="n">
        <x:f>Asumsi!$B$9</x:f>
        <x:v>0.05</x:v>
      </x:c>
      <x:c r="J27" s="76" t="n">
        <x:f>Asumsi!$B$10</x:f>
        <x:v>0</x:v>
      </x:c>
      <x:c r="K27" s="63" t="str">
        <x:f>IF(AND(F27&gt;=MEDIAN($F$27:$F$31)*Asumsi!$B$14,F27&lt;=MEDIAN($F$27:$F$31)*Asumsi!$B$15),"VALID","OUTLIER")</x:f>
        <x:v>VALID</x:v>
      </x:c>
      <x:c r="L27" s="85" t="n">
        <x:f>IF(COUNT(F27,G27,I27,J27)&lt;4,"",IF(K27="VALID",F27*(1-G27)/POWER(1+I27,H27/12)*(1+J27),""))</x:f>
        <x:v>31319128.80166341</x:v>
      </x:c>
      <x:c r="M27" s="63" t="str">
        <x:v>https://www.rumah123.com/jual/surabaya/dukuh-pakis/tanah/</x:v>
      </x:c>
      <x:c r="N27" s="63" t="str">
        <x:v>PROKSI IKLAN</x:v>
      </x:c>
      <x:c r="O27" s="63" t="str">
        <x:v>Belum verifikasi transaksi, koordinat, hak, luas, dan duplikasi iklan.</x:v>
      </x:c>
      <x:c r="P27" s="64"/>
      <x:c r="Q27" s="64"/>
    </x:row>
    <x:row r="28">
      <x:c r="A28" s="63" t="str">
        <x:v>SBY-05-2</x:v>
      </x:c>
      <x:c r="B28" s="63" t="str">
        <x:v>Dukuh Pakis</x:v>
      </x:c>
      <x:c r="C28" s="63" t="str">
        <x:v>ADM-Dukuh Pakis</x:v>
      </x:c>
      <x:c r="D28" s="82" t="n">
        <x:v>46277</x:v>
      </x:c>
      <x:c r="E28" s="63" t="str">
        <x:v>Harga penawaran</x:v>
      </x:c>
      <x:c r="F28" s="83" t="n">
        <x:v>36000000</x:v>
      </x:c>
      <x:c r="G28" s="76" t="n">
        <x:f>Asumsi!$B$8</x:f>
        <x:v>0.1</x:v>
      </x:c>
      <x:c r="H28" s="84" t="n">
        <x:f>(D28-Asumsi!$B$6)/30.4375</x:f>
        <x:v>8.344969199178644</x:v>
      </x:c>
      <x:c r="I28" s="76" t="n">
        <x:f>Asumsi!$B$9</x:f>
        <x:v>0.05</x:v>
      </x:c>
      <x:c r="J28" s="76" t="n">
        <x:f>Asumsi!$B$10</x:f>
        <x:v>0</x:v>
      </x:c>
      <x:c r="K28" s="63" t="str">
        <x:f>IF(AND(F28&gt;=MEDIAN($F$27:$F$31)*Asumsi!$B$14,F28&lt;=MEDIAN($F$27:$F$31)*Asumsi!$B$15),"VALID","OUTLIER")</x:f>
        <x:v>VALID</x:v>
      </x:c>
      <x:c r="L28" s="85" t="n">
        <x:f>IF(COUNT(F28,G28,I28,J28)&lt;4,"",IF(K28="VALID",F28*(1-G28)/POWER(1+I28,H28/12)*(1+J28),""))</x:f>
        <x:v>31319128.80166341</x:v>
      </x:c>
      <x:c r="M28" s="63" t="str">
        <x:v>https://www.rumah123.com/jual/surabaya/dukuh-pakis/tanah/</x:v>
      </x:c>
      <x:c r="N28" s="63" t="str">
        <x:v>PROKSI IKLAN</x:v>
      </x:c>
      <x:c r="O28" s="63" t="str">
        <x:v>Belum verifikasi transaksi, koordinat, hak, luas, dan duplikasi iklan.</x:v>
      </x:c>
      <x:c r="P28" s="64"/>
      <x:c r="Q28" s="64"/>
    </x:row>
    <x:row r="29">
      <x:c r="A29" s="63" t="str">
        <x:v>SBY-05-3</x:v>
      </x:c>
      <x:c r="B29" s="63" t="str">
        <x:v>Dukuh Pakis</x:v>
      </x:c>
      <x:c r="C29" s="63" t="str">
        <x:v>ADM-Dukuh Pakis</x:v>
      </x:c>
      <x:c r="D29" s="82" t="n">
        <x:v>46277</x:v>
      </x:c>
      <x:c r="E29" s="63" t="str">
        <x:v>Harga penawaran</x:v>
      </x:c>
      <x:c r="F29" s="83" t="n">
        <x:v>36000000</x:v>
      </x:c>
      <x:c r="G29" s="76" t="n">
        <x:f>Asumsi!$B$8</x:f>
        <x:v>0.1</x:v>
      </x:c>
      <x:c r="H29" s="84" t="n">
        <x:f>(D29-Asumsi!$B$6)/30.4375</x:f>
        <x:v>8.344969199178644</x:v>
      </x:c>
      <x:c r="I29" s="76" t="n">
        <x:f>Asumsi!$B$9</x:f>
        <x:v>0.05</x:v>
      </x:c>
      <x:c r="J29" s="76" t="n">
        <x:f>Asumsi!$B$10</x:f>
        <x:v>0</x:v>
      </x:c>
      <x:c r="K29" s="63" t="str">
        <x:f>IF(AND(F29&gt;=MEDIAN($F$27:$F$31)*Asumsi!$B$14,F29&lt;=MEDIAN($F$27:$F$31)*Asumsi!$B$15),"VALID","OUTLIER")</x:f>
        <x:v>VALID</x:v>
      </x:c>
      <x:c r="L29" s="85" t="n">
        <x:f>IF(COUNT(F29,G29,I29,J29)&lt;4,"",IF(K29="VALID",F29*(1-G29)/POWER(1+I29,H29/12)*(1+J29),""))</x:f>
        <x:v>31319128.80166341</x:v>
      </x:c>
      <x:c r="M29" s="63" t="str">
        <x:v>https://www.rumah123.com/jual/surabaya/dukuh-pakis/tanah/</x:v>
      </x:c>
      <x:c r="N29" s="63" t="str">
        <x:v>PROKSI IKLAN</x:v>
      </x:c>
      <x:c r="O29" s="63" t="str">
        <x:v>Belum verifikasi transaksi, koordinat, hak, luas, dan duplikasi iklan.</x:v>
      </x:c>
      <x:c r="P29" s="64"/>
      <x:c r="Q29" s="64"/>
    </x:row>
    <x:row r="30">
      <x:c r="A30" s="63" t="str">
        <x:v>SBY-05-4</x:v>
      </x:c>
      <x:c r="B30" s="63" t="str">
        <x:v>Dukuh Pakis</x:v>
      </x:c>
      <x:c r="C30" s="63" t="str">
        <x:v>ADM-Dukuh Pakis</x:v>
      </x:c>
      <x:c r="D30" s="82" t="n">
        <x:v>46277</x:v>
      </x:c>
      <x:c r="E30" s="63" t="str">
        <x:v>Harga penawaran</x:v>
      </x:c>
      <x:c r="F30" s="83" t="n">
        <x:v>49500000</x:v>
      </x:c>
      <x:c r="G30" s="76" t="n">
        <x:f>Asumsi!$B$8</x:f>
        <x:v>0.1</x:v>
      </x:c>
      <x:c r="H30" s="84" t="n">
        <x:f>(D30-Asumsi!$B$6)/30.4375</x:f>
        <x:v>8.344969199178644</x:v>
      </x:c>
      <x:c r="I30" s="76" t="n">
        <x:f>Asumsi!$B$9</x:f>
        <x:v>0.05</x:v>
      </x:c>
      <x:c r="J30" s="76" t="n">
        <x:f>Asumsi!$B$10</x:f>
        <x:v>0</x:v>
      </x:c>
      <x:c r="K30" s="63" t="str">
        <x:f>IF(AND(F30&gt;=MEDIAN($F$27:$F$31)*Asumsi!$B$14,F30&lt;=MEDIAN($F$27:$F$31)*Asumsi!$B$15),"VALID","OUTLIER")</x:f>
        <x:v>VALID</x:v>
      </x:c>
      <x:c r="L30" s="85" t="n">
        <x:f>IF(COUNT(F30,G30,I30,J30)&lt;4,"",IF(K30="VALID",F30*(1-G30)/POWER(1+I30,H30/12)*(1+J30),""))</x:f>
        <x:v>43063802.10228719</x:v>
      </x:c>
      <x:c r="M30" s="63" t="str">
        <x:v>https://www.rumah123.com/jual/surabaya/dukuh-pakis/tanah/</x:v>
      </x:c>
      <x:c r="N30" s="63" t="str">
        <x:v>PROKSI IKLAN</x:v>
      </x:c>
      <x:c r="O30" s="63" t="str">
        <x:v>Belum verifikasi transaksi, koordinat, hak, luas, dan duplikasi iklan.</x:v>
      </x:c>
      <x:c r="P30" s="64"/>
      <x:c r="Q30" s="64"/>
    </x:row>
    <x:row r="31">
      <x:c r="A31" s="63" t="str">
        <x:v>SBY-05-5</x:v>
      </x:c>
      <x:c r="B31" s="63" t="str">
        <x:v>Dukuh Pakis</x:v>
      </x:c>
      <x:c r="C31" s="63" t="str">
        <x:v>ADM-Dukuh Pakis</x:v>
      </x:c>
      <x:c r="D31" s="82" t="n">
        <x:v>46277</x:v>
      </x:c>
      <x:c r="E31" s="63" t="str">
        <x:v>Harga penawaran</x:v>
      </x:c>
      <x:c r="F31" s="83" t="n">
        <x:v>49500000</x:v>
      </x:c>
      <x:c r="G31" s="76" t="n">
        <x:f>Asumsi!$B$8</x:f>
        <x:v>0.1</x:v>
      </x:c>
      <x:c r="H31" s="84" t="n">
        <x:f>(D31-Asumsi!$B$6)/30.4375</x:f>
        <x:v>8.344969199178644</x:v>
      </x:c>
      <x:c r="I31" s="76" t="n">
        <x:f>Asumsi!$B$9</x:f>
        <x:v>0.05</x:v>
      </x:c>
      <x:c r="J31" s="76" t="n">
        <x:f>Asumsi!$B$10</x:f>
        <x:v>0</x:v>
      </x:c>
      <x:c r="K31" s="63" t="str">
        <x:f>IF(AND(F31&gt;=MEDIAN($F$27:$F$31)*Asumsi!$B$14,F31&lt;=MEDIAN($F$27:$F$31)*Asumsi!$B$15),"VALID","OUTLIER")</x:f>
        <x:v>VALID</x:v>
      </x:c>
      <x:c r="L31" s="85" t="n">
        <x:f>IF(COUNT(F31,G31,I31,J31)&lt;4,"",IF(K31="VALID",F31*(1-G31)/POWER(1+I31,H31/12)*(1+J31),""))</x:f>
        <x:v>43063802.10228719</x:v>
      </x:c>
      <x:c r="M31" s="63" t="str">
        <x:v>https://www.rumah123.com/jual/surabaya/dukuh-pakis/tanah/</x:v>
      </x:c>
      <x:c r="N31" s="63" t="str">
        <x:v>PROKSI IKLAN</x:v>
      </x:c>
      <x:c r="O31" s="63" t="str">
        <x:v>Belum verifikasi transaksi, koordinat, hak, luas, dan duplikasi iklan.</x:v>
      </x:c>
      <x:c r="P31" s="64"/>
      <x:c r="Q31" s="64"/>
    </x:row>
    <x:row r="32">
      <x:c r="A32" s="63" t="str">
        <x:v>SBY-06-1</x:v>
      </x:c>
      <x:c r="B32" s="63" t="str">
        <x:v>Gayungan</x:v>
      </x:c>
      <x:c r="C32" s="63" t="str">
        <x:v>ADM-Gayungan</x:v>
      </x:c>
      <x:c r="D32" s="82" t="n">
        <x:v>46277</x:v>
      </x:c>
      <x:c r="E32" s="63" t="str">
        <x:v>Harga penawaran</x:v>
      </x:c>
      <x:c r="F32" s="83" t="n">
        <x:v>6500000</x:v>
      </x:c>
      <x:c r="G32" s="76" t="n">
        <x:f>Asumsi!$B$8</x:f>
        <x:v>0.1</x:v>
      </x:c>
      <x:c r="H32" s="84" t="n">
        <x:f>(D32-Asumsi!$B$6)/30.4375</x:f>
        <x:v>8.344969199178644</x:v>
      </x:c>
      <x:c r="I32" s="76" t="n">
        <x:f>Asumsi!$B$9</x:f>
        <x:v>0.05</x:v>
      </x:c>
      <x:c r="J32" s="76" t="n">
        <x:f>Asumsi!$B$10</x:f>
        <x:v>0</x:v>
      </x:c>
      <x:c r="K32" s="63" t="str">
        <x:f>IF(AND(F32&gt;=MEDIAN($F$32:$F$36)*Asumsi!$B$14,F32&lt;=MEDIAN($F$32:$F$36)*Asumsi!$B$15),"VALID","OUTLIER")</x:f>
        <x:v>VALID</x:v>
      </x:c>
      <x:c r="L32" s="85" t="n">
        <x:f>IF(COUNT(F32,G32,I32,J32)&lt;4,"",IF(K32="VALID",F32*(1-G32)/POWER(1+I32,H32/12)*(1+J32),""))</x:f>
        <x:v>5654842.700300338</x:v>
      </x:c>
      <x:c r="M32" s="63" t="str">
        <x:v>https://www.rumah123.com/jual/surabaya/gayungan/tanah/</x:v>
      </x:c>
      <x:c r="N32" s="63" t="str">
        <x:v>PROKSI IKLAN</x:v>
      </x:c>
      <x:c r="O32" s="63" t="str">
        <x:v>Belum verifikasi transaksi, koordinat, hak, luas, dan duplikasi iklan.</x:v>
      </x:c>
      <x:c r="P32" s="64"/>
      <x:c r="Q32" s="64"/>
    </x:row>
    <x:row r="33">
      <x:c r="A33" s="63" t="str">
        <x:v>SBY-06-2</x:v>
      </x:c>
      <x:c r="B33" s="63" t="str">
        <x:v>Gayungan</x:v>
      </x:c>
      <x:c r="C33" s="63" t="str">
        <x:v>ADM-Gayungan</x:v>
      </x:c>
      <x:c r="D33" s="82" t="n">
        <x:v>46277</x:v>
      </x:c>
      <x:c r="E33" s="63" t="str">
        <x:v>Harga penawaran</x:v>
      </x:c>
      <x:c r="F33" s="83" t="n">
        <x:v>15000000</x:v>
      </x:c>
      <x:c r="G33" s="76" t="n">
        <x:f>Asumsi!$B$8</x:f>
        <x:v>0.1</x:v>
      </x:c>
      <x:c r="H33" s="84" t="n">
        <x:f>(D33-Asumsi!$B$6)/30.4375</x:f>
        <x:v>8.344969199178644</x:v>
      </x:c>
      <x:c r="I33" s="76" t="n">
        <x:f>Asumsi!$B$9</x:f>
        <x:v>0.05</x:v>
      </x:c>
      <x:c r="J33" s="76" t="n">
        <x:f>Asumsi!$B$10</x:f>
        <x:v>0</x:v>
      </x:c>
      <x:c r="K33" s="63" t="str">
        <x:f>IF(AND(F33&gt;=MEDIAN($F$32:$F$36)*Asumsi!$B$14,F33&lt;=MEDIAN($F$32:$F$36)*Asumsi!$B$15),"VALID","OUTLIER")</x:f>
        <x:v>VALID</x:v>
      </x:c>
      <x:c r="L33" s="85" t="n">
        <x:f>IF(COUNT(F33,G33,I33,J33)&lt;4,"",IF(K33="VALID",F33*(1-G33)/POWER(1+I33,H33/12)*(1+J33),""))</x:f>
        <x:v>13049637.000693087</x:v>
      </x:c>
      <x:c r="M33" s="63" t="str">
        <x:v>https://www.rumah123.com/jual/surabaya/gayungan/tanah/</x:v>
      </x:c>
      <x:c r="N33" s="63" t="str">
        <x:v>PROKSI IKLAN</x:v>
      </x:c>
      <x:c r="O33" s="63" t="str">
        <x:v>Belum verifikasi transaksi, koordinat, hak, luas, dan duplikasi iklan.</x:v>
      </x:c>
      <x:c r="P33" s="64"/>
      <x:c r="Q33" s="64"/>
    </x:row>
    <x:row r="34">
      <x:c r="A34" s="63" t="str">
        <x:v>SBY-06-3</x:v>
      </x:c>
      <x:c r="B34" s="63" t="str">
        <x:v>Gayungan</x:v>
      </x:c>
      <x:c r="C34" s="63" t="str">
        <x:v>ADM-Gayungan</x:v>
      </x:c>
      <x:c r="D34" s="82" t="n">
        <x:v>46277</x:v>
      </x:c>
      <x:c r="E34" s="63" t="str">
        <x:v>Harga penawaran</x:v>
      </x:c>
      <x:c r="F34" s="83" t="n">
        <x:v>9010000</x:v>
      </x:c>
      <x:c r="G34" s="76" t="n">
        <x:f>Asumsi!$B$8</x:f>
        <x:v>0.1</x:v>
      </x:c>
      <x:c r="H34" s="84" t="n">
        <x:f>(D34-Asumsi!$B$6)/30.4375</x:f>
        <x:v>8.344969199178644</x:v>
      </x:c>
      <x:c r="I34" s="76" t="n">
        <x:f>Asumsi!$B$9</x:f>
        <x:v>0.05</x:v>
      </x:c>
      <x:c r="J34" s="76" t="n">
        <x:f>Asumsi!$B$10</x:f>
        <x:v>0</x:v>
      </x:c>
      <x:c r="K34" s="63" t="str">
        <x:f>IF(AND(F34&gt;=MEDIAN($F$32:$F$36)*Asumsi!$B$14,F34&lt;=MEDIAN($F$32:$F$36)*Asumsi!$B$15),"VALID","OUTLIER")</x:f>
        <x:v>VALID</x:v>
      </x:c>
      <x:c r="L34" s="85" t="n">
        <x:f>IF(COUNT(F34,G34,I34,J34)&lt;4,"",IF(K34="VALID",F34*(1-G34)/POWER(1+I34,H34/12)*(1+J34),""))</x:f>
        <x:v>7838481.958416315</x:v>
      </x:c>
      <x:c r="M34" s="63" t="str">
        <x:v>https://www.rumah123.com/jual/surabaya/gayungan/tanah/</x:v>
      </x:c>
      <x:c r="N34" s="63" t="str">
        <x:v>PROKSI IKLAN</x:v>
      </x:c>
      <x:c r="O34" s="63" t="str">
        <x:v>Belum verifikasi transaksi, koordinat, hak, luas, dan duplikasi iklan.</x:v>
      </x:c>
      <x:c r="P34" s="64"/>
      <x:c r="Q34" s="64"/>
    </x:row>
    <x:row r="35">
      <x:c r="A35" s="63" t="str">
        <x:v>SBY-06-4</x:v>
      </x:c>
      <x:c r="B35" s="63" t="str">
        <x:v>Gayungan</x:v>
      </x:c>
      <x:c r="C35" s="63" t="str">
        <x:v>ADM-Gayungan</x:v>
      </x:c>
      <x:c r="D35" s="82" t="n">
        <x:v>46277</x:v>
      </x:c>
      <x:c r="E35" s="63" t="str">
        <x:v>Harga penawaran</x:v>
      </x:c>
      <x:c r="F35" s="83" t="n">
        <x:v>13000000</x:v>
      </x:c>
      <x:c r="G35" s="76" t="n">
        <x:f>Asumsi!$B$8</x:f>
        <x:v>0.1</x:v>
      </x:c>
      <x:c r="H35" s="84" t="n">
        <x:f>(D35-Asumsi!$B$6)/30.4375</x:f>
        <x:v>8.344969199178644</x:v>
      </x:c>
      <x:c r="I35" s="76" t="n">
        <x:f>Asumsi!$B$9</x:f>
        <x:v>0.05</x:v>
      </x:c>
      <x:c r="J35" s="76" t="n">
        <x:f>Asumsi!$B$10</x:f>
        <x:v>0</x:v>
      </x:c>
      <x:c r="K35" s="63" t="str">
        <x:f>IF(AND(F35&gt;=MEDIAN($F$32:$F$36)*Asumsi!$B$14,F35&lt;=MEDIAN($F$32:$F$36)*Asumsi!$B$15),"VALID","OUTLIER")</x:f>
        <x:v>VALID</x:v>
      </x:c>
      <x:c r="L35" s="85" t="n">
        <x:f>IF(COUNT(F35,G35,I35,J35)&lt;4,"",IF(K35="VALID",F35*(1-G35)/POWER(1+I35,H35/12)*(1+J35),""))</x:f>
        <x:v>11309685.400600675</x:v>
      </x:c>
      <x:c r="M35" s="63" t="str">
        <x:v>https://www.rumah123.com/jual/surabaya/gayungan/tanah/</x:v>
      </x:c>
      <x:c r="N35" s="63" t="str">
        <x:v>PROKSI IKLAN</x:v>
      </x:c>
      <x:c r="O35" s="63" t="str">
        <x:v>Belum verifikasi transaksi, koordinat, hak, luas, dan duplikasi iklan.</x:v>
      </x:c>
      <x:c r="P35" s="64"/>
      <x:c r="Q35" s="64"/>
    </x:row>
    <x:row r="36">
      <x:c r="A36" s="63" t="str">
        <x:v>SBY-06-5</x:v>
      </x:c>
      <x:c r="B36" s="63" t="str">
        <x:v>Gayungan</x:v>
      </x:c>
      <x:c r="C36" s="63" t="str">
        <x:v>ADM-Gayungan</x:v>
      </x:c>
      <x:c r="D36" s="82" t="n">
        <x:v>46277</x:v>
      </x:c>
      <x:c r="E36" s="63" t="str">
        <x:v>Harga penawaran</x:v>
      </x:c>
      <x:c r="F36" s="83" t="n">
        <x:v>5490000</x:v>
      </x:c>
      <x:c r="G36" s="76" t="n">
        <x:f>Asumsi!$B$8</x:f>
        <x:v>0.1</x:v>
      </x:c>
      <x:c r="H36" s="84" t="n">
        <x:f>(D36-Asumsi!$B$6)/30.4375</x:f>
        <x:v>8.344969199178644</x:v>
      </x:c>
      <x:c r="I36" s="76" t="n">
        <x:f>Asumsi!$B$9</x:f>
        <x:v>0.05</x:v>
      </x:c>
      <x:c r="J36" s="76" t="n">
        <x:f>Asumsi!$B$10</x:f>
        <x:v>0</x:v>
      </x:c>
      <x:c r="K36" s="63" t="str">
        <x:f>IF(AND(F36&gt;=MEDIAN($F$32:$F$36)*Asumsi!$B$14,F36&lt;=MEDIAN($F$32:$F$36)*Asumsi!$B$15),"VALID","OUTLIER")</x:f>
        <x:v>VALID</x:v>
      </x:c>
      <x:c r="L36" s="85" t="n">
        <x:f>IF(COUNT(F36,G36,I36,J36)&lt;4,"",IF(K36="VALID",F36*(1-G36)/POWER(1+I36,H36/12)*(1+J36),""))</x:f>
        <x:v>4776167.14225367</x:v>
      </x:c>
      <x:c r="M36" s="63" t="str">
        <x:v>https://www.rumah123.com/jual/surabaya/gayungan/tanah/</x:v>
      </x:c>
      <x:c r="N36" s="63" t="str">
        <x:v>PROKSI IKLAN</x:v>
      </x:c>
      <x:c r="O36" s="63" t="str">
        <x:v>Belum verifikasi transaksi, koordinat, hak, luas, dan duplikasi iklan.</x:v>
      </x:c>
      <x:c r="P36" s="64"/>
      <x:c r="Q36" s="64"/>
    </x:row>
    <x:row r="37">
      <x:c r="A37" s="63" t="str">
        <x:v>SBY-07-1</x:v>
      </x:c>
      <x:c r="B37" s="63" t="str">
        <x:v>Genteng</x:v>
      </x:c>
      <x:c r="C37" s="63" t="str">
        <x:v>ADM-Genteng</x:v>
      </x:c>
      <x:c r="D37" s="82" t="n">
        <x:v>46277</x:v>
      </x:c>
      <x:c r="E37" s="63" t="str">
        <x:v>Harga penawaran</x:v>
      </x:c>
      <x:c r="F37" s="83" t="n">
        <x:v>19700000</x:v>
      </x:c>
      <x:c r="G37" s="76" t="n">
        <x:f>Asumsi!$B$8</x:f>
        <x:v>0.1</x:v>
      </x:c>
      <x:c r="H37" s="84" t="n">
        <x:f>(D37-Asumsi!$B$6)/30.4375</x:f>
        <x:v>8.344969199178644</x:v>
      </x:c>
      <x:c r="I37" s="76" t="n">
        <x:f>Asumsi!$B$9</x:f>
        <x:v>0.05</x:v>
      </x:c>
      <x:c r="J37" s="76" t="n">
        <x:f>Asumsi!$B$10</x:f>
        <x:v>0</x:v>
      </x:c>
      <x:c r="K37" s="63" t="str">
        <x:f>IF(AND(F37&gt;=MEDIAN($F$37:$F$41)*Asumsi!$B$14,F37&lt;=MEDIAN($F$37:$F$41)*Asumsi!$B$15),"VALID","OUTLIER")</x:f>
        <x:v>VALID</x:v>
      </x:c>
      <x:c r="L37" s="85" t="n">
        <x:f>IF(COUNT(F37,G37,I37,J37)&lt;4,"",IF(K37="VALID",F37*(1-G37)/POWER(1+I37,H37/12)*(1+J37),""))</x:f>
        <x:v>17138523.260910254</x:v>
      </x:c>
      <x:c r="M37" s="63" t="str">
        <x:v>https://www.rumah123.com/jual/surabaya/genteng/tanah/</x:v>
      </x:c>
      <x:c r="N37" s="63" t="str">
        <x:v>PROKSI IKLAN</x:v>
      </x:c>
      <x:c r="O37" s="63" t="str">
        <x:v>Belum verifikasi transaksi, koordinat, hak, luas, dan duplikasi iklan.</x:v>
      </x:c>
      <x:c r="P37" s="64"/>
      <x:c r="Q37" s="64"/>
    </x:row>
    <x:row r="38">
      <x:c r="A38" s="63" t="str">
        <x:v>SBY-07-2</x:v>
      </x:c>
      <x:c r="B38" s="63" t="str">
        <x:v>Genteng</x:v>
      </x:c>
      <x:c r="C38" s="63" t="str">
        <x:v>ADM-Genteng</x:v>
      </x:c>
      <x:c r="D38" s="82" t="n">
        <x:v>46277</x:v>
      </x:c>
      <x:c r="E38" s="63" t="str">
        <x:v>Harga penawaran</x:v>
      </x:c>
      <x:c r="F38" s="83" t="n">
        <x:v>25000000</x:v>
      </x:c>
      <x:c r="G38" s="76" t="n">
        <x:f>Asumsi!$B$8</x:f>
        <x:v>0.1</x:v>
      </x:c>
      <x:c r="H38" s="84" t="n">
        <x:f>(D38-Asumsi!$B$6)/30.4375</x:f>
        <x:v>8.344969199178644</x:v>
      </x:c>
      <x:c r="I38" s="76" t="n">
        <x:f>Asumsi!$B$9</x:f>
        <x:v>0.05</x:v>
      </x:c>
      <x:c r="J38" s="76" t="n">
        <x:f>Asumsi!$B$10</x:f>
        <x:v>0</x:v>
      </x:c>
      <x:c r="K38" s="63" t="str">
        <x:f>IF(AND(F38&gt;=MEDIAN($F$37:$F$41)*Asumsi!$B$14,F38&lt;=MEDIAN($F$37:$F$41)*Asumsi!$B$15),"VALID","OUTLIER")</x:f>
        <x:v>VALID</x:v>
      </x:c>
      <x:c r="L38" s="85" t="n">
        <x:f>IF(COUNT(F38,G38,I38,J38)&lt;4,"",IF(K38="VALID",F38*(1-G38)/POWER(1+I38,H38/12)*(1+J38),""))</x:f>
        <x:v>21749395.001155145</x:v>
      </x:c>
      <x:c r="M38" s="63" t="str">
        <x:v>https://www.rumah123.com/jual/surabaya/genteng/tanah/</x:v>
      </x:c>
      <x:c r="N38" s="63" t="str">
        <x:v>PROKSI IKLAN</x:v>
      </x:c>
      <x:c r="O38" s="63" t="str">
        <x:v>Belum verifikasi transaksi, koordinat, hak, luas, dan duplikasi iklan.</x:v>
      </x:c>
      <x:c r="P38" s="64"/>
      <x:c r="Q38" s="64"/>
    </x:row>
    <x:row r="39">
      <x:c r="A39" s="63" t="str">
        <x:v>SBY-07-3</x:v>
      </x:c>
      <x:c r="B39" s="63" t="str">
        <x:v>Genteng</x:v>
      </x:c>
      <x:c r="C39" s="63" t="str">
        <x:v>ADM-Genteng</x:v>
      </x:c>
      <x:c r="D39" s="82" t="n">
        <x:v>46277</x:v>
      </x:c>
      <x:c r="E39" s="63" t="str">
        <x:v>Harga penawaran</x:v>
      </x:c>
      <x:c r="F39" s="83" t="n">
        <x:v>18000000</x:v>
      </x:c>
      <x:c r="G39" s="76" t="n">
        <x:f>Asumsi!$B$8</x:f>
        <x:v>0.1</x:v>
      </x:c>
      <x:c r="H39" s="84" t="n">
        <x:f>(D39-Asumsi!$B$6)/30.4375</x:f>
        <x:v>8.344969199178644</x:v>
      </x:c>
      <x:c r="I39" s="76" t="n">
        <x:f>Asumsi!$B$9</x:f>
        <x:v>0.05</x:v>
      </x:c>
      <x:c r="J39" s="76" t="n">
        <x:f>Asumsi!$B$10</x:f>
        <x:v>0</x:v>
      </x:c>
      <x:c r="K39" s="63" t="str">
        <x:f>IF(AND(F39&gt;=MEDIAN($F$37:$F$41)*Asumsi!$B$14,F39&lt;=MEDIAN($F$37:$F$41)*Asumsi!$B$15),"VALID","OUTLIER")</x:f>
        <x:v>VALID</x:v>
      </x:c>
      <x:c r="L39" s="85" t="n">
        <x:f>IF(COUNT(F39,G39,I39,J39)&lt;4,"",IF(K39="VALID",F39*(1-G39)/POWER(1+I39,H39/12)*(1+J39),""))</x:f>
        <x:v>15659564.400831705</x:v>
      </x:c>
      <x:c r="M39" s="63" t="str">
        <x:v>https://www.rumah123.com/jual/surabaya/genteng/tanah/</x:v>
      </x:c>
      <x:c r="N39" s="63" t="str">
        <x:v>PROKSI IKLAN</x:v>
      </x:c>
      <x:c r="O39" s="63" t="str">
        <x:v>Belum verifikasi transaksi, koordinat, hak, luas, dan duplikasi iklan.</x:v>
      </x:c>
      <x:c r="P39" s="64"/>
      <x:c r="Q39" s="64"/>
    </x:row>
    <x:row r="40">
      <x:c r="A40" s="63" t="str">
        <x:v>SBY-07-4</x:v>
      </x:c>
      <x:c r="B40" s="63" t="str">
        <x:v>Genteng</x:v>
      </x:c>
      <x:c r="C40" s="63" t="str">
        <x:v>ADM-Genteng</x:v>
      </x:c>
      <x:c r="D40" s="82" t="n">
        <x:v>46277</x:v>
      </x:c>
      <x:c r="E40" s="63" t="str">
        <x:v>Harga penawaran</x:v>
      </x:c>
      <x:c r="F40" s="83" t="n">
        <x:v>20000000</x:v>
      </x:c>
      <x:c r="G40" s="76" t="n">
        <x:f>Asumsi!$B$8</x:f>
        <x:v>0.1</x:v>
      </x:c>
      <x:c r="H40" s="84" t="n">
        <x:f>(D40-Asumsi!$B$6)/30.4375</x:f>
        <x:v>8.344969199178644</x:v>
      </x:c>
      <x:c r="I40" s="76" t="n">
        <x:f>Asumsi!$B$9</x:f>
        <x:v>0.05</x:v>
      </x:c>
      <x:c r="J40" s="76" t="n">
        <x:f>Asumsi!$B$10</x:f>
        <x:v>0</x:v>
      </x:c>
      <x:c r="K40" s="63" t="str">
        <x:f>IF(AND(F40&gt;=MEDIAN($F$37:$F$41)*Asumsi!$B$14,F40&lt;=MEDIAN($F$37:$F$41)*Asumsi!$B$15),"VALID","OUTLIER")</x:f>
        <x:v>VALID</x:v>
      </x:c>
      <x:c r="L40" s="85" t="n">
        <x:f>IF(COUNT(F40,G40,I40,J40)&lt;4,"",IF(K40="VALID",F40*(1-G40)/POWER(1+I40,H40/12)*(1+J40),""))</x:f>
        <x:v>17399516.000924118</x:v>
      </x:c>
      <x:c r="M40" s="63" t="str">
        <x:v>https://www.rumah123.com/jual/surabaya/genteng/tanah/</x:v>
      </x:c>
      <x:c r="N40" s="63" t="str">
        <x:v>PROKSI IKLAN</x:v>
      </x:c>
      <x:c r="O40" s="63" t="str">
        <x:v>Belum verifikasi transaksi, koordinat, hak, luas, dan duplikasi iklan.</x:v>
      </x:c>
      <x:c r="P40" s="64"/>
      <x:c r="Q40" s="64"/>
    </x:row>
    <x:row r="41">
      <x:c r="A41" s="63" t="str">
        <x:v>SBY-07-5</x:v>
      </x:c>
      <x:c r="B41" s="63" t="str">
        <x:v>Genteng</x:v>
      </x:c>
      <x:c r="C41" s="63" t="str">
        <x:v>ADM-Genteng</x:v>
      </x:c>
      <x:c r="D41" s="82" t="n">
        <x:v>46277</x:v>
      </x:c>
      <x:c r="E41" s="63" t="str">
        <x:v>Harga penawaran</x:v>
      </x:c>
      <x:c r="F41" s="83" t="n">
        <x:v>21800000</x:v>
      </x:c>
      <x:c r="G41" s="76" t="n">
        <x:f>Asumsi!$B$8</x:f>
        <x:v>0.1</x:v>
      </x:c>
      <x:c r="H41" s="84" t="n">
        <x:f>(D41-Asumsi!$B$6)/30.4375</x:f>
        <x:v>8.344969199178644</x:v>
      </x:c>
      <x:c r="I41" s="76" t="n">
        <x:f>Asumsi!$B$9</x:f>
        <x:v>0.05</x:v>
      </x:c>
      <x:c r="J41" s="76" t="n">
        <x:f>Asumsi!$B$10</x:f>
        <x:v>0</x:v>
      </x:c>
      <x:c r="K41" s="63" t="str">
        <x:f>IF(AND(F41&gt;=MEDIAN($F$37:$F$41)*Asumsi!$B$14,F41&lt;=MEDIAN($F$37:$F$41)*Asumsi!$B$15),"VALID","OUTLIER")</x:f>
        <x:v>VALID</x:v>
      </x:c>
      <x:c r="L41" s="85" t="n">
        <x:f>IF(COUNT(F41,G41,I41,J41)&lt;4,"",IF(K41="VALID",F41*(1-G41)/POWER(1+I41,H41/12)*(1+J41),""))</x:f>
        <x:v>18965472.441007286</x:v>
      </x:c>
      <x:c r="M41" s="63" t="str">
        <x:v>https://www.rumah123.com/jual/surabaya/genteng/tanah/</x:v>
      </x:c>
      <x:c r="N41" s="63" t="str">
        <x:v>PROKSI IKLAN</x:v>
      </x:c>
      <x:c r="O41" s="63" t="str">
        <x:v>Belum verifikasi transaksi, koordinat, hak, luas, dan duplikasi iklan.</x:v>
      </x:c>
      <x:c r="P41" s="64"/>
      <x:c r="Q41" s="64"/>
    </x:row>
    <x:row r="42">
      <x:c r="A42" s="63" t="str">
        <x:v>SBY-08-1</x:v>
      </x:c>
      <x:c r="B42" s="63" t="str">
        <x:v>Gubeng</x:v>
      </x:c>
      <x:c r="C42" s="63" t="str">
        <x:v>ADM-Gubeng</x:v>
      </x:c>
      <x:c r="D42" s="82" t="n">
        <x:v>46277</x:v>
      </x:c>
      <x:c r="E42" s="63" t="str">
        <x:v>Harga penawaran</x:v>
      </x:c>
      <x:c r="F42" s="83" t="n">
        <x:v>42800000</x:v>
      </x:c>
      <x:c r="G42" s="76" t="n">
        <x:f>Asumsi!$B$8</x:f>
        <x:v>0.1</x:v>
      </x:c>
      <x:c r="H42" s="84" t="n">
        <x:f>(D42-Asumsi!$B$6)/30.4375</x:f>
        <x:v>8.344969199178644</x:v>
      </x:c>
      <x:c r="I42" s="76" t="n">
        <x:f>Asumsi!$B$9</x:f>
        <x:v>0.05</x:v>
      </x:c>
      <x:c r="J42" s="76" t="n">
        <x:f>Asumsi!$B$10</x:f>
        <x:v>0</x:v>
      </x:c>
      <x:c r="K42" s="63" t="str">
        <x:f>IF(AND(F42&gt;=MEDIAN($F$42:$F$46)*Asumsi!$B$14,F42&lt;=MEDIAN($F$42:$F$46)*Asumsi!$B$15),"VALID","OUTLIER")</x:f>
        <x:v>OUTLIER</x:v>
      </x:c>
      <x:c r="L42" s="85" t="str">
        <x:f>IF(COUNT(F42,G42,I42,J42)&lt;4,"",IF(K42="VALID",F42*(1-G42)/POWER(1+I42,H42/12)*(1+J42),""))</x:f>
      </x:c>
      <x:c r="M42" s="63" t="str">
        <x:v>https://www.rumah123.com/jual/surabaya/gubeng/tanah/</x:v>
      </x:c>
      <x:c r="N42" s="63" t="str">
        <x:v>PROKSI IKLAN</x:v>
      </x:c>
      <x:c r="O42" s="63" t="str">
        <x:v>Belum verifikasi transaksi, koordinat, hak, luas, dan duplikasi iklan.</x:v>
      </x:c>
      <x:c r="P42" s="64"/>
      <x:c r="Q42" s="64"/>
    </x:row>
    <x:row r="43">
      <x:c r="A43" s="63" t="str">
        <x:v>SBY-08-2</x:v>
      </x:c>
      <x:c r="B43" s="63" t="str">
        <x:v>Gubeng</x:v>
      </x:c>
      <x:c r="C43" s="63" t="str">
        <x:v>ADM-Gubeng</x:v>
      </x:c>
      <x:c r="D43" s="82" t="n">
        <x:v>46277</x:v>
      </x:c>
      <x:c r="E43" s="63" t="str">
        <x:v>Harga penawaran</x:v>
      </x:c>
      <x:c r="F43" s="83" t="n">
        <x:v>25200000</x:v>
      </x:c>
      <x:c r="G43" s="76" t="n">
        <x:f>Asumsi!$B$8</x:f>
        <x:v>0.1</x:v>
      </x:c>
      <x:c r="H43" s="84" t="n">
        <x:f>(D43-Asumsi!$B$6)/30.4375</x:f>
        <x:v>8.344969199178644</x:v>
      </x:c>
      <x:c r="I43" s="76" t="n">
        <x:f>Asumsi!$B$9</x:f>
        <x:v>0.05</x:v>
      </x:c>
      <x:c r="J43" s="76" t="n">
        <x:f>Asumsi!$B$10</x:f>
        <x:v>0</x:v>
      </x:c>
      <x:c r="K43" s="63" t="str">
        <x:f>IF(AND(F43&gt;=MEDIAN($F$42:$F$46)*Asumsi!$B$14,F43&lt;=MEDIAN($F$42:$F$46)*Asumsi!$B$15),"VALID","OUTLIER")</x:f>
        <x:v>OUTLIER</x:v>
      </x:c>
      <x:c r="L43" s="85" t="str">
        <x:f>IF(COUNT(F43,G43,I43,J43)&lt;4,"",IF(K43="VALID",F43*(1-G43)/POWER(1+I43,H43/12)*(1+J43),""))</x:f>
      </x:c>
      <x:c r="M43" s="63" t="str">
        <x:v>https://www.rumah123.com/jual/surabaya/gubeng/tanah/</x:v>
      </x:c>
      <x:c r="N43" s="63" t="str">
        <x:v>PROKSI IKLAN</x:v>
      </x:c>
      <x:c r="O43" s="63" t="str">
        <x:v>Belum verifikasi transaksi, koordinat, hak, luas, dan duplikasi iklan.</x:v>
      </x:c>
      <x:c r="P43" s="64"/>
      <x:c r="Q43" s="64"/>
    </x:row>
    <x:row r="44">
      <x:c r="A44" s="63" t="str">
        <x:v>SBY-08-3</x:v>
      </x:c>
      <x:c r="B44" s="63" t="str">
        <x:v>Gubeng</x:v>
      </x:c>
      <x:c r="C44" s="63" t="str">
        <x:v>ADM-Gubeng</x:v>
      </x:c>
      <x:c r="D44" s="82" t="n">
        <x:v>46277</x:v>
      </x:c>
      <x:c r="E44" s="63" t="str">
        <x:v>Harga penawaran</x:v>
      </x:c>
      <x:c r="F44" s="83" t="n">
        <x:v>8000000</x:v>
      </x:c>
      <x:c r="G44" s="76" t="n">
        <x:f>Asumsi!$B$8</x:f>
        <x:v>0.1</x:v>
      </x:c>
      <x:c r="H44" s="84" t="n">
        <x:f>(D44-Asumsi!$B$6)/30.4375</x:f>
        <x:v>8.344969199178644</x:v>
      </x:c>
      <x:c r="I44" s="76" t="n">
        <x:f>Asumsi!$B$9</x:f>
        <x:v>0.05</x:v>
      </x:c>
      <x:c r="J44" s="76" t="n">
        <x:f>Asumsi!$B$10</x:f>
        <x:v>0</x:v>
      </x:c>
      <x:c r="K44" s="63" t="str">
        <x:f>IF(AND(F44&gt;=MEDIAN($F$42:$F$46)*Asumsi!$B$14,F44&lt;=MEDIAN($F$42:$F$46)*Asumsi!$B$15),"VALID","OUTLIER")</x:f>
        <x:v>VALID</x:v>
      </x:c>
      <x:c r="L44" s="85" t="n">
        <x:f>IF(COUNT(F44,G44,I44,J44)&lt;4,"",IF(K44="VALID",F44*(1-G44)/POWER(1+I44,H44/12)*(1+J44),""))</x:f>
        <x:v>6959806.400369647</x:v>
      </x:c>
      <x:c r="M44" s="63" t="str">
        <x:v>https://www.rumah123.com/jual/surabaya/gubeng/tanah/</x:v>
      </x:c>
      <x:c r="N44" s="63" t="str">
        <x:v>PROKSI IKLAN</x:v>
      </x:c>
      <x:c r="O44" s="63" t="str">
        <x:v>Belum verifikasi transaksi, koordinat, hak, luas, dan duplikasi iklan.</x:v>
      </x:c>
      <x:c r="P44" s="64"/>
      <x:c r="Q44" s="64"/>
    </x:row>
    <x:row r="45">
      <x:c r="A45" s="63" t="str">
        <x:v>SBY-08-4</x:v>
      </x:c>
      <x:c r="B45" s="63" t="str">
        <x:v>Gubeng</x:v>
      </x:c>
      <x:c r="C45" s="63" t="str">
        <x:v>ADM-Gubeng</x:v>
      </x:c>
      <x:c r="D45" s="82" t="n">
        <x:v>46277</x:v>
      </x:c>
      <x:c r="E45" s="63" t="str">
        <x:v>Harga penawaran</x:v>
      </x:c>
      <x:c r="F45" s="83" t="n">
        <x:v>6700000</x:v>
      </x:c>
      <x:c r="G45" s="76" t="n">
        <x:f>Asumsi!$B$8</x:f>
        <x:v>0.1</x:v>
      </x:c>
      <x:c r="H45" s="84" t="n">
        <x:f>(D45-Asumsi!$B$6)/30.4375</x:f>
        <x:v>8.344969199178644</x:v>
      </x:c>
      <x:c r="I45" s="76" t="n">
        <x:f>Asumsi!$B$9</x:f>
        <x:v>0.05</x:v>
      </x:c>
      <x:c r="J45" s="76" t="n">
        <x:f>Asumsi!$B$10</x:f>
        <x:v>0</x:v>
      </x:c>
      <x:c r="K45" s="63" t="str">
        <x:f>IF(AND(F45&gt;=MEDIAN($F$42:$F$46)*Asumsi!$B$14,F45&lt;=MEDIAN($F$42:$F$46)*Asumsi!$B$15),"VALID","OUTLIER")</x:f>
        <x:v>VALID</x:v>
      </x:c>
      <x:c r="L45" s="85" t="n">
        <x:f>IF(COUNT(F45,G45,I45,J45)&lt;4,"",IF(K45="VALID",F45*(1-G45)/POWER(1+I45,H45/12)*(1+J45),""))</x:f>
        <x:v>5828837.860309579</x:v>
      </x:c>
      <x:c r="M45" s="63" t="str">
        <x:v>https://www.rumah123.com/jual/surabaya/gubeng/tanah/</x:v>
      </x:c>
      <x:c r="N45" s="63" t="str">
        <x:v>PROKSI IKLAN</x:v>
      </x:c>
      <x:c r="O45" s="63" t="str">
        <x:v>Belum verifikasi transaksi, koordinat, hak, luas, dan duplikasi iklan.</x:v>
      </x:c>
      <x:c r="P45" s="64"/>
      <x:c r="Q45" s="64"/>
    </x:row>
    <x:row r="46">
      <x:c r="A46" s="63" t="str">
        <x:v>SBY-08-5</x:v>
      </x:c>
      <x:c r="B46" s="63" t="str">
        <x:v>Gubeng</x:v>
      </x:c>
      <x:c r="C46" s="63" t="str">
        <x:v>ADM-Gubeng</x:v>
      </x:c>
      <x:c r="D46" s="82" t="n">
        <x:v>46277</x:v>
      </x:c>
      <x:c r="E46" s="63" t="str">
        <x:v>Harga penawaran</x:v>
      </x:c>
      <x:c r="F46" s="83" t="n">
        <x:v>9000000</x:v>
      </x:c>
      <x:c r="G46" s="76" t="n">
        <x:f>Asumsi!$B$8</x:f>
        <x:v>0.1</x:v>
      </x:c>
      <x:c r="H46" s="84" t="n">
        <x:f>(D46-Asumsi!$B$6)/30.4375</x:f>
        <x:v>8.344969199178644</x:v>
      </x:c>
      <x:c r="I46" s="76" t="n">
        <x:f>Asumsi!$B$9</x:f>
        <x:v>0.05</x:v>
      </x:c>
      <x:c r="J46" s="76" t="n">
        <x:f>Asumsi!$B$10</x:f>
        <x:v>0</x:v>
      </x:c>
      <x:c r="K46" s="63" t="str">
        <x:f>IF(AND(F46&gt;=MEDIAN($F$42:$F$46)*Asumsi!$B$14,F46&lt;=MEDIAN($F$42:$F$46)*Asumsi!$B$15),"VALID","OUTLIER")</x:f>
        <x:v>VALID</x:v>
      </x:c>
      <x:c r="L46" s="85" t="n">
        <x:f>IF(COUNT(F46,G46,I46,J46)&lt;4,"",IF(K46="VALID",F46*(1-G46)/POWER(1+I46,H46/12)*(1+J46),""))</x:f>
        <x:v>7829782.2004158525</x:v>
      </x:c>
      <x:c r="M46" s="63" t="str">
        <x:v>https://www.rumah123.com/jual/surabaya/gubeng/tanah/</x:v>
      </x:c>
      <x:c r="N46" s="63" t="str">
        <x:v>PROKSI IKLAN</x:v>
      </x:c>
      <x:c r="O46" s="63" t="str">
        <x:v>Belum verifikasi transaksi, koordinat, hak, luas, dan duplikasi iklan.</x:v>
      </x:c>
      <x:c r="P46" s="64"/>
      <x:c r="Q46" s="64"/>
    </x:row>
    <x:row r="47">
      <x:c r="A47" s="63" t="str">
        <x:v>SBY-09-1</x:v>
      </x:c>
      <x:c r="B47" s="63" t="str">
        <x:v>Gunung Anyar</x:v>
      </x:c>
      <x:c r="C47" s="63" t="str">
        <x:v>ADM-Gunung Anyar</x:v>
      </x:c>
      <x:c r="D47" s="82" t="n">
        <x:v>46277</x:v>
      </x:c>
      <x:c r="E47" s="63" t="str">
        <x:v>Harga penawaran</x:v>
      </x:c>
      <x:c r="F47" s="83" t="n">
        <x:v>5000000</x:v>
      </x:c>
      <x:c r="G47" s="76" t="n">
        <x:f>Asumsi!$B$8</x:f>
        <x:v>0.1</x:v>
      </x:c>
      <x:c r="H47" s="84" t="n">
        <x:f>(D47-Asumsi!$B$6)/30.4375</x:f>
        <x:v>8.344969199178644</x:v>
      </x:c>
      <x:c r="I47" s="76" t="n">
        <x:f>Asumsi!$B$9</x:f>
        <x:v>0.05</x:v>
      </x:c>
      <x:c r="J47" s="76" t="n">
        <x:f>Asumsi!$B$10</x:f>
        <x:v>0</x:v>
      </x:c>
      <x:c r="K47" s="63" t="str">
        <x:f>IF(AND(F47&gt;=MEDIAN($F$47:$F$51)*Asumsi!$B$14,F47&lt;=MEDIAN($F$47:$F$51)*Asumsi!$B$15),"VALID","OUTLIER")</x:f>
        <x:v>VALID</x:v>
      </x:c>
      <x:c r="L47" s="85" t="n">
        <x:f>IF(COUNT(F47,G47,I47,J47)&lt;4,"",IF(K47="VALID",F47*(1-G47)/POWER(1+I47,H47/12)*(1+J47),""))</x:f>
        <x:v>4349879.0002310295</x:v>
      </x:c>
      <x:c r="M47" s="63" t="str">
        <x:v>https://www.rumah123.com/jual/surabaya/gununganyar/tanah/</x:v>
      </x:c>
      <x:c r="N47" s="63" t="str">
        <x:v>PROKSI IKLAN</x:v>
      </x:c>
      <x:c r="O47" s="63" t="str">
        <x:v>Belum verifikasi transaksi, koordinat, hak, luas, dan duplikasi iklan.</x:v>
      </x:c>
      <x:c r="P47" s="64"/>
      <x:c r="Q47" s="64"/>
    </x:row>
    <x:row r="48">
      <x:c r="A48" s="63" t="str">
        <x:v>SBY-09-2</x:v>
      </x:c>
      <x:c r="B48" s="63" t="str">
        <x:v>Gunung Anyar</x:v>
      </x:c>
      <x:c r="C48" s="63" t="str">
        <x:v>ADM-Gunung Anyar</x:v>
      </x:c>
      <x:c r="D48" s="82" t="n">
        <x:v>46277</x:v>
      </x:c>
      <x:c r="E48" s="63" t="str">
        <x:v>Harga penawaran</x:v>
      </x:c>
      <x:c r="F48" s="83" t="n">
        <x:v>5000000</x:v>
      </x:c>
      <x:c r="G48" s="76" t="n">
        <x:f>Asumsi!$B$8</x:f>
        <x:v>0.1</x:v>
      </x:c>
      <x:c r="H48" s="84" t="n">
        <x:f>(D48-Asumsi!$B$6)/30.4375</x:f>
        <x:v>8.344969199178644</x:v>
      </x:c>
      <x:c r="I48" s="76" t="n">
        <x:f>Asumsi!$B$9</x:f>
        <x:v>0.05</x:v>
      </x:c>
      <x:c r="J48" s="76" t="n">
        <x:f>Asumsi!$B$10</x:f>
        <x:v>0</x:v>
      </x:c>
      <x:c r="K48" s="63" t="str">
        <x:f>IF(AND(F48&gt;=MEDIAN($F$47:$F$51)*Asumsi!$B$14,F48&lt;=MEDIAN($F$47:$F$51)*Asumsi!$B$15),"VALID","OUTLIER")</x:f>
        <x:v>VALID</x:v>
      </x:c>
      <x:c r="L48" s="85" t="n">
        <x:f>IF(COUNT(F48,G48,I48,J48)&lt;4,"",IF(K48="VALID",F48*(1-G48)/POWER(1+I48,H48/12)*(1+J48),""))</x:f>
        <x:v>4349879.0002310295</x:v>
      </x:c>
      <x:c r="M48" s="63" t="str">
        <x:v>https://www.rumah123.com/jual/surabaya/gununganyar/tanah/</x:v>
      </x:c>
      <x:c r="N48" s="63" t="str">
        <x:v>PROKSI IKLAN</x:v>
      </x:c>
      <x:c r="O48" s="63" t="str">
        <x:v>Belum verifikasi transaksi, koordinat, hak, luas, dan duplikasi iklan.</x:v>
      </x:c>
      <x:c r="P48" s="64"/>
      <x:c r="Q48" s="64"/>
    </x:row>
    <x:row r="49">
      <x:c r="A49" s="63" t="str">
        <x:v>SBY-09-3</x:v>
      </x:c>
      <x:c r="B49" s="63" t="str">
        <x:v>Gunung Anyar</x:v>
      </x:c>
      <x:c r="C49" s="63" t="str">
        <x:v>ADM-Gunung Anyar</x:v>
      </x:c>
      <x:c r="D49" s="82" t="n">
        <x:v>46277</x:v>
      </x:c>
      <x:c r="E49" s="63" t="str">
        <x:v>Harga penawaran</x:v>
      </x:c>
      <x:c r="F49" s="83" t="n">
        <x:v>5550000</x:v>
      </x:c>
      <x:c r="G49" s="76" t="n">
        <x:f>Asumsi!$B$8</x:f>
        <x:v>0.1</x:v>
      </x:c>
      <x:c r="H49" s="84" t="n">
        <x:f>(D49-Asumsi!$B$6)/30.4375</x:f>
        <x:v>8.344969199178644</x:v>
      </x:c>
      <x:c r="I49" s="76" t="n">
        <x:f>Asumsi!$B$9</x:f>
        <x:v>0.05</x:v>
      </x:c>
      <x:c r="J49" s="76" t="n">
        <x:f>Asumsi!$B$10</x:f>
        <x:v>0</x:v>
      </x:c>
      <x:c r="K49" s="63" t="str">
        <x:f>IF(AND(F49&gt;=MEDIAN($F$47:$F$51)*Asumsi!$B$14,F49&lt;=MEDIAN($F$47:$F$51)*Asumsi!$B$15),"VALID","OUTLIER")</x:f>
        <x:v>VALID</x:v>
      </x:c>
      <x:c r="L49" s="85" t="n">
        <x:f>IF(COUNT(F49,G49,I49,J49)&lt;4,"",IF(K49="VALID",F49*(1-G49)/POWER(1+I49,H49/12)*(1+J49),""))</x:f>
        <x:v>4828365.690256442</x:v>
      </x:c>
      <x:c r="M49" s="63" t="str">
        <x:v>https://www.rumah123.com/jual/surabaya/gununganyar/tanah/</x:v>
      </x:c>
      <x:c r="N49" s="63" t="str">
        <x:v>PROKSI IKLAN</x:v>
      </x:c>
      <x:c r="O49" s="63" t="str">
        <x:v>Belum verifikasi transaksi, koordinat, hak, luas, dan duplikasi iklan.</x:v>
      </x:c>
      <x:c r="P49" s="64"/>
      <x:c r="Q49" s="64"/>
    </x:row>
    <x:row r="50">
      <x:c r="A50" s="63" t="str">
        <x:v>SBY-09-4</x:v>
      </x:c>
      <x:c r="B50" s="63" t="str">
        <x:v>Gunung Anyar</x:v>
      </x:c>
      <x:c r="C50" s="63" t="str">
        <x:v>ADM-Gunung Anyar</x:v>
      </x:c>
      <x:c r="D50" s="82" t="n">
        <x:v>46277</x:v>
      </x:c>
      <x:c r="E50" s="63" t="str">
        <x:v>Harga penawaran</x:v>
      </x:c>
      <x:c r="F50" s="83" t="n">
        <x:v>8000000</x:v>
      </x:c>
      <x:c r="G50" s="76" t="n">
        <x:f>Asumsi!$B$8</x:f>
        <x:v>0.1</x:v>
      </x:c>
      <x:c r="H50" s="84" t="n">
        <x:f>(D50-Asumsi!$B$6)/30.4375</x:f>
        <x:v>8.344969199178644</x:v>
      </x:c>
      <x:c r="I50" s="76" t="n">
        <x:f>Asumsi!$B$9</x:f>
        <x:v>0.05</x:v>
      </x:c>
      <x:c r="J50" s="76" t="n">
        <x:f>Asumsi!$B$10</x:f>
        <x:v>0</x:v>
      </x:c>
      <x:c r="K50" s="63" t="str">
        <x:f>IF(AND(F50&gt;=MEDIAN($F$47:$F$51)*Asumsi!$B$14,F50&lt;=MEDIAN($F$47:$F$51)*Asumsi!$B$15),"VALID","OUTLIER")</x:f>
        <x:v>VALID</x:v>
      </x:c>
      <x:c r="L50" s="85" t="n">
        <x:f>IF(COUNT(F50,G50,I50,J50)&lt;4,"",IF(K50="VALID",F50*(1-G50)/POWER(1+I50,H50/12)*(1+J50),""))</x:f>
        <x:v>6959806.400369647</x:v>
      </x:c>
      <x:c r="M50" s="63" t="str">
        <x:v>https://www.rumah123.com/jual/surabaya/gununganyar/tanah/</x:v>
      </x:c>
      <x:c r="N50" s="63" t="str">
        <x:v>PROKSI IKLAN</x:v>
      </x:c>
      <x:c r="O50" s="63" t="str">
        <x:v>Belum verifikasi transaksi, koordinat, hak, luas, dan duplikasi iklan.</x:v>
      </x:c>
      <x:c r="P50" s="64"/>
      <x:c r="Q50" s="64"/>
    </x:row>
    <x:row r="51">
      <x:c r="A51" s="63" t="str">
        <x:v>SBY-09-5</x:v>
      </x:c>
      <x:c r="B51" s="63" t="str">
        <x:v>Gunung Anyar</x:v>
      </x:c>
      <x:c r="C51" s="63" t="str">
        <x:v>ADM-Gunung Anyar</x:v>
      </x:c>
      <x:c r="D51" s="82" t="n">
        <x:v>46277</x:v>
      </x:c>
      <x:c r="E51" s="63" t="str">
        <x:v>Harga penawaran</x:v>
      </x:c>
      <x:c r="F51" s="83" t="n">
        <x:v>2500000</x:v>
      </x:c>
      <x:c r="G51" s="76" t="n">
        <x:f>Asumsi!$B$8</x:f>
        <x:v>0.1</x:v>
      </x:c>
      <x:c r="H51" s="84" t="n">
        <x:f>(D51-Asumsi!$B$6)/30.4375</x:f>
        <x:v>8.344969199178644</x:v>
      </x:c>
      <x:c r="I51" s="76" t="n">
        <x:f>Asumsi!$B$9</x:f>
        <x:v>0.05</x:v>
      </x:c>
      <x:c r="J51" s="76" t="n">
        <x:f>Asumsi!$B$10</x:f>
        <x:v>0</x:v>
      </x:c>
      <x:c r="K51" s="63" t="str">
        <x:f>IF(AND(F51&gt;=MEDIAN($F$47:$F$51)*Asumsi!$B$14,F51&lt;=MEDIAN($F$47:$F$51)*Asumsi!$B$15),"VALID","OUTLIER")</x:f>
        <x:v>VALID</x:v>
      </x:c>
      <x:c r="L51" s="85" t="n">
        <x:f>IF(COUNT(F51,G51,I51,J51)&lt;4,"",IF(K51="VALID",F51*(1-G51)/POWER(1+I51,H51/12)*(1+J51),""))</x:f>
        <x:v>2174939.5001155147</x:v>
      </x:c>
      <x:c r="M51" s="63" t="str">
        <x:v>https://www.rumah123.com/jual/surabaya/gununganyar/tanah/</x:v>
      </x:c>
      <x:c r="N51" s="63" t="str">
        <x:v>PROKSI IKLAN</x:v>
      </x:c>
      <x:c r="O51" s="63" t="str">
        <x:v>Belum verifikasi transaksi, koordinat, hak, luas, dan duplikasi iklan.</x:v>
      </x:c>
      <x:c r="P51" s="64"/>
      <x:c r="Q51" s="64"/>
    </x:row>
    <x:row r="52">
      <x:c r="A52" s="63" t="str">
        <x:v>SBY-10-1</x:v>
      </x:c>
      <x:c r="B52" s="63" t="str">
        <x:v>Jambangan</x:v>
      </x:c>
      <x:c r="C52" s="63" t="str">
        <x:v>ADM-Jambangan</x:v>
      </x:c>
      <x:c r="D52" s="82" t="n">
        <x:v>46277</x:v>
      </x:c>
      <x:c r="E52" s="63" t="str">
        <x:v>Harga penawaran</x:v>
      </x:c>
      <x:c r="F52" s="83" t="n">
        <x:v>9000000</x:v>
      </x:c>
      <x:c r="G52" s="76" t="n">
        <x:f>Asumsi!$B$8</x:f>
        <x:v>0.1</x:v>
      </x:c>
      <x:c r="H52" s="84" t="n">
        <x:f>(D52-Asumsi!$B$6)/30.4375</x:f>
        <x:v>8.344969199178644</x:v>
      </x:c>
      <x:c r="I52" s="76" t="n">
        <x:f>Asumsi!$B$9</x:f>
        <x:v>0.05</x:v>
      </x:c>
      <x:c r="J52" s="76" t="n">
        <x:f>Asumsi!$B$10</x:f>
        <x:v>0</x:v>
      </x:c>
      <x:c r="K52" s="63" t="str">
        <x:f>IF(AND(F52&gt;=MEDIAN($F$52:$F$56)*Asumsi!$B$14,F52&lt;=MEDIAN($F$52:$F$56)*Asumsi!$B$15),"VALID","OUTLIER")</x:f>
        <x:v>VALID</x:v>
      </x:c>
      <x:c r="L52" s="85" t="n">
        <x:f>IF(COUNT(F52,G52,I52,J52)&lt;4,"",IF(K52="VALID",F52*(1-G52)/POWER(1+I52,H52/12)*(1+J52),""))</x:f>
        <x:v>7829782.2004158525</x:v>
      </x:c>
      <x:c r="M52" s="63" t="str">
        <x:v>https://www.rumah123.com/jual/surabaya/jambangan/tanah/</x:v>
      </x:c>
      <x:c r="N52" s="63" t="str">
        <x:v>PROKSI IKLAN</x:v>
      </x:c>
      <x:c r="O52" s="63" t="str">
        <x:v>Belum verifikasi transaksi, koordinat, hak, luas, dan duplikasi iklan.</x:v>
      </x:c>
      <x:c r="P52" s="64"/>
      <x:c r="Q52" s="64"/>
    </x:row>
    <x:row r="53">
      <x:c r="A53" s="63" t="str">
        <x:v>SBY-10-2</x:v>
      </x:c>
      <x:c r="B53" s="63" t="str">
        <x:v>Jambangan</x:v>
      </x:c>
      <x:c r="C53" s="63" t="str">
        <x:v>ADM-Jambangan</x:v>
      </x:c>
      <x:c r="D53" s="82" t="n">
        <x:v>46277</x:v>
      </x:c>
      <x:c r="E53" s="63" t="str">
        <x:v>Harga penawaran</x:v>
      </x:c>
      <x:c r="F53" s="83" t="n">
        <x:v>9250000</x:v>
      </x:c>
      <x:c r="G53" s="76" t="n">
        <x:f>Asumsi!$B$8</x:f>
        <x:v>0.1</x:v>
      </x:c>
      <x:c r="H53" s="84" t="n">
        <x:f>(D53-Asumsi!$B$6)/30.4375</x:f>
        <x:v>8.344969199178644</x:v>
      </x:c>
      <x:c r="I53" s="76" t="n">
        <x:f>Asumsi!$B$9</x:f>
        <x:v>0.05</x:v>
      </x:c>
      <x:c r="J53" s="76" t="n">
        <x:f>Asumsi!$B$10</x:f>
        <x:v>0</x:v>
      </x:c>
      <x:c r="K53" s="63" t="str">
        <x:f>IF(AND(F53&gt;=MEDIAN($F$52:$F$56)*Asumsi!$B$14,F53&lt;=MEDIAN($F$52:$F$56)*Asumsi!$B$15),"VALID","OUTLIER")</x:f>
        <x:v>VALID</x:v>
      </x:c>
      <x:c r="L53" s="85" t="n">
        <x:f>IF(COUNT(F53,G53,I53,J53)&lt;4,"",IF(K53="VALID",F53*(1-G53)/POWER(1+I53,H53/12)*(1+J53),""))</x:f>
        <x:v>8047276.150427404</x:v>
      </x:c>
      <x:c r="M53" s="63" t="str">
        <x:v>https://www.rumah123.com/jual/surabaya/jambangan/tanah/</x:v>
      </x:c>
      <x:c r="N53" s="63" t="str">
        <x:v>PROKSI IKLAN</x:v>
      </x:c>
      <x:c r="O53" s="63" t="str">
        <x:v>Belum verifikasi transaksi, koordinat, hak, luas, dan duplikasi iklan.</x:v>
      </x:c>
      <x:c r="P53" s="64"/>
      <x:c r="Q53" s="64"/>
    </x:row>
    <x:row r="54">
      <x:c r="A54" s="63" t="str">
        <x:v>SBY-10-3</x:v>
      </x:c>
      <x:c r="B54" s="63" t="str">
        <x:v>Jambangan</x:v>
      </x:c>
      <x:c r="C54" s="63" t="str">
        <x:v>ADM-Jambangan</x:v>
      </x:c>
      <x:c r="D54" s="82" t="n">
        <x:v>46277</x:v>
      </x:c>
      <x:c r="E54" s="63" t="str">
        <x:v>Harga penawaran</x:v>
      </x:c>
      <x:c r="F54" s="83" t="n">
        <x:v>9000000</x:v>
      </x:c>
      <x:c r="G54" s="76" t="n">
        <x:f>Asumsi!$B$8</x:f>
        <x:v>0.1</x:v>
      </x:c>
      <x:c r="H54" s="84" t="n">
        <x:f>(D54-Asumsi!$B$6)/30.4375</x:f>
        <x:v>8.344969199178644</x:v>
      </x:c>
      <x:c r="I54" s="76" t="n">
        <x:f>Asumsi!$B$9</x:f>
        <x:v>0.05</x:v>
      </x:c>
      <x:c r="J54" s="76" t="n">
        <x:f>Asumsi!$B$10</x:f>
        <x:v>0</x:v>
      </x:c>
      <x:c r="K54" s="63" t="str">
        <x:f>IF(AND(F54&gt;=MEDIAN($F$52:$F$56)*Asumsi!$B$14,F54&lt;=MEDIAN($F$52:$F$56)*Asumsi!$B$15),"VALID","OUTLIER")</x:f>
        <x:v>VALID</x:v>
      </x:c>
      <x:c r="L54" s="85" t="n">
        <x:f>IF(COUNT(F54,G54,I54,J54)&lt;4,"",IF(K54="VALID",F54*(1-G54)/POWER(1+I54,H54/12)*(1+J54),""))</x:f>
        <x:v>7829782.2004158525</x:v>
      </x:c>
      <x:c r="M54" s="63" t="str">
        <x:v>https://www.rumah123.com/jual/surabaya/jambangan/tanah/</x:v>
      </x:c>
      <x:c r="N54" s="63" t="str">
        <x:v>PROKSI IKLAN</x:v>
      </x:c>
      <x:c r="O54" s="63" t="str">
        <x:v>Belum verifikasi transaksi, koordinat, hak, luas, dan duplikasi iklan.</x:v>
      </x:c>
      <x:c r="P54" s="64"/>
      <x:c r="Q54" s="64"/>
    </x:row>
    <x:row r="55">
      <x:c r="A55" s="63" t="str">
        <x:v>SBY-10-4</x:v>
      </x:c>
      <x:c r="B55" s="63" t="str">
        <x:v>Jambangan</x:v>
      </x:c>
      <x:c r="C55" s="63" t="str">
        <x:v>ADM-Jambangan</x:v>
      </x:c>
      <x:c r="D55" s="82" t="n">
        <x:v>46277</x:v>
      </x:c>
      <x:c r="E55" s="63" t="str">
        <x:v>Harga penawaran</x:v>
      </x:c>
      <x:c r="F55" s="83" t="n">
        <x:v>8780000</x:v>
      </x:c>
      <x:c r="G55" s="76" t="n">
        <x:f>Asumsi!$B$8</x:f>
        <x:v>0.1</x:v>
      </x:c>
      <x:c r="H55" s="84" t="n">
        <x:f>(D55-Asumsi!$B$6)/30.4375</x:f>
        <x:v>8.344969199178644</x:v>
      </x:c>
      <x:c r="I55" s="76" t="n">
        <x:f>Asumsi!$B$9</x:f>
        <x:v>0.05</x:v>
      </x:c>
      <x:c r="J55" s="76" t="n">
        <x:f>Asumsi!$B$10</x:f>
        <x:v>0</x:v>
      </x:c>
      <x:c r="K55" s="63" t="str">
        <x:f>IF(AND(F55&gt;=MEDIAN($F$52:$F$56)*Asumsi!$B$14,F55&lt;=MEDIAN($F$52:$F$56)*Asumsi!$B$15),"VALID","OUTLIER")</x:f>
        <x:v>VALID</x:v>
      </x:c>
      <x:c r="L55" s="85" t="n">
        <x:f>IF(COUNT(F55,G55,I55,J55)&lt;4,"",IF(K55="VALID",F55*(1-G55)/POWER(1+I55,H55/12)*(1+J55),""))</x:f>
        <x:v>7638387.524405687</x:v>
      </x:c>
      <x:c r="M55" s="63" t="str">
        <x:v>https://www.rumah123.com/jual/surabaya/jambangan/tanah/</x:v>
      </x:c>
      <x:c r="N55" s="63" t="str">
        <x:v>PROKSI IKLAN</x:v>
      </x:c>
      <x:c r="O55" s="63" t="str">
        <x:v>Belum verifikasi transaksi, koordinat, hak, luas, dan duplikasi iklan.</x:v>
      </x:c>
      <x:c r="P55" s="64"/>
      <x:c r="Q55" s="64"/>
    </x:row>
    <x:row r="56">
      <x:c r="A56" s="63" t="str">
        <x:v>SBY-10-5</x:v>
      </x:c>
      <x:c r="B56" s="63" t="str">
        <x:v>Jambangan</x:v>
      </x:c>
      <x:c r="C56" s="63" t="str">
        <x:v>ADM-Jambangan</x:v>
      </x:c>
      <x:c r="D56" s="82" t="n">
        <x:v>46277</x:v>
      </x:c>
      <x:c r="E56" s="63" t="str">
        <x:v>Harga penawaran</x:v>
      </x:c>
      <x:c r="F56" s="83" t="n">
        <x:v>6000000</x:v>
      </x:c>
      <x:c r="G56" s="76" t="n">
        <x:f>Asumsi!$B$8</x:f>
        <x:v>0.1</x:v>
      </x:c>
      <x:c r="H56" s="84" t="n">
        <x:f>(D56-Asumsi!$B$6)/30.4375</x:f>
        <x:v>8.344969199178644</x:v>
      </x:c>
      <x:c r="I56" s="76" t="n">
        <x:f>Asumsi!$B$9</x:f>
        <x:v>0.05</x:v>
      </x:c>
      <x:c r="J56" s="76" t="n">
        <x:f>Asumsi!$B$10</x:f>
        <x:v>0</x:v>
      </x:c>
      <x:c r="K56" s="63" t="str">
        <x:f>IF(AND(F56&gt;=MEDIAN($F$52:$F$56)*Asumsi!$B$14,F56&lt;=MEDIAN($F$52:$F$56)*Asumsi!$B$15),"VALID","OUTLIER")</x:f>
        <x:v>VALID</x:v>
      </x:c>
      <x:c r="L56" s="85" t="n">
        <x:f>IF(COUNT(F56,G56,I56,J56)&lt;4,"",IF(K56="VALID",F56*(1-G56)/POWER(1+I56,H56/12)*(1+J56),""))</x:f>
        <x:v>5219854.800277235</x:v>
      </x:c>
      <x:c r="M56" s="63" t="str">
        <x:v>https://www.rumah123.com/jual/surabaya/jambangan/tanah/</x:v>
      </x:c>
      <x:c r="N56" s="63" t="str">
        <x:v>PROKSI IKLAN</x:v>
      </x:c>
      <x:c r="O56" s="63" t="str">
        <x:v>Belum verifikasi transaksi, koordinat, hak, luas, dan duplikasi iklan.</x:v>
      </x:c>
      <x:c r="P56" s="64"/>
      <x:c r="Q56" s="64"/>
    </x:row>
    <x:row r="57">
      <x:c r="A57" s="63" t="str">
        <x:v>SBY-11-1</x:v>
      </x:c>
      <x:c r="B57" s="63" t="str">
        <x:v>Karang Pilang</x:v>
      </x:c>
      <x:c r="C57" s="63" t="str">
        <x:v>ADM-Karang Pilang</x:v>
      </x:c>
      <x:c r="D57" s="82" t="n">
        <x:v>46277</x:v>
      </x:c>
      <x:c r="E57" s="63" t="str">
        <x:v>Harga penawaran</x:v>
      </x:c>
      <x:c r="F57" s="83" t="n">
        <x:v>6500000</x:v>
      </x:c>
      <x:c r="G57" s="76" t="n">
        <x:f>Asumsi!$B$8</x:f>
        <x:v>0.1</x:v>
      </x:c>
      <x:c r="H57" s="84" t="n">
        <x:f>(D57-Asumsi!$B$6)/30.4375</x:f>
        <x:v>8.344969199178644</x:v>
      </x:c>
      <x:c r="I57" s="76" t="n">
        <x:f>Asumsi!$B$9</x:f>
        <x:v>0.05</x:v>
      </x:c>
      <x:c r="J57" s="76" t="n">
        <x:f>Asumsi!$B$10</x:f>
        <x:v>0</x:v>
      </x:c>
      <x:c r="K57" s="63" t="str">
        <x:f>IF(AND(F57&gt;=MEDIAN($F$57:$F$61)*Asumsi!$B$14,F57&lt;=MEDIAN($F$57:$F$61)*Asumsi!$B$15),"VALID","OUTLIER")</x:f>
        <x:v>VALID</x:v>
      </x:c>
      <x:c r="L57" s="85" t="n">
        <x:f>IF(COUNT(F57,G57,I57,J57)&lt;4,"",IF(K57="VALID",F57*(1-G57)/POWER(1+I57,H57/12)*(1+J57),""))</x:f>
        <x:v>5654842.700300338</x:v>
      </x:c>
      <x:c r="M57" s="63" t="str">
        <x:v>https://www.rumah123.com/jual/surabaya/karangpilang/tanah/</x:v>
      </x:c>
      <x:c r="N57" s="63" t="str">
        <x:v>PROKSI IKLAN</x:v>
      </x:c>
      <x:c r="O57" s="63" t="str">
        <x:v>Belum verifikasi transaksi, koordinat, hak, luas, dan duplikasi iklan.</x:v>
      </x:c>
      <x:c r="P57" s="64"/>
      <x:c r="Q57" s="64"/>
    </x:row>
    <x:row r="58">
      <x:c r="A58" s="63" t="str">
        <x:v>SBY-11-2</x:v>
      </x:c>
      <x:c r="B58" s="63" t="str">
        <x:v>Karang Pilang</x:v>
      </x:c>
      <x:c r="C58" s="63" t="str">
        <x:v>ADM-Karang Pilang</x:v>
      </x:c>
      <x:c r="D58" s="82" t="n">
        <x:v>46277</x:v>
      </x:c>
      <x:c r="E58" s="63" t="str">
        <x:v>Harga penawaran</x:v>
      </x:c>
      <x:c r="F58" s="83" t="n">
        <x:v>1000000</x:v>
      </x:c>
      <x:c r="G58" s="76" t="n">
        <x:f>Asumsi!$B$8</x:f>
        <x:v>0.1</x:v>
      </x:c>
      <x:c r="H58" s="84" t="n">
        <x:f>(D58-Asumsi!$B$6)/30.4375</x:f>
        <x:v>8.344969199178644</x:v>
      </x:c>
      <x:c r="I58" s="76" t="n">
        <x:f>Asumsi!$B$9</x:f>
        <x:v>0.05</x:v>
      </x:c>
      <x:c r="J58" s="76" t="n">
        <x:f>Asumsi!$B$10</x:f>
        <x:v>0</x:v>
      </x:c>
      <x:c r="K58" s="63" t="str">
        <x:f>IF(AND(F58&gt;=MEDIAN($F$57:$F$61)*Asumsi!$B$14,F58&lt;=MEDIAN($F$57:$F$61)*Asumsi!$B$15),"VALID","OUTLIER")</x:f>
        <x:v>OUTLIER</x:v>
      </x:c>
      <x:c r="L58" s="85" t="str">
        <x:f>IF(COUNT(F58,G58,I58,J58)&lt;4,"",IF(K58="VALID",F58*(1-G58)/POWER(1+I58,H58/12)*(1+J58),""))</x:f>
      </x:c>
      <x:c r="M58" s="63" t="str">
        <x:v>https://www.rumah123.com/jual/surabaya/karangpilang/tanah/</x:v>
      </x:c>
      <x:c r="N58" s="63" t="str">
        <x:v>PROKSI IKLAN</x:v>
      </x:c>
      <x:c r="O58" s="63" t="str">
        <x:v>Belum verifikasi transaksi, koordinat, hak, luas, dan duplikasi iklan.</x:v>
      </x:c>
      <x:c r="P58" s="64"/>
      <x:c r="Q58" s="64"/>
    </x:row>
    <x:row r="59">
      <x:c r="A59" s="63" t="str">
        <x:v>SBY-11-3</x:v>
      </x:c>
      <x:c r="B59" s="63" t="str">
        <x:v>Karang Pilang</x:v>
      </x:c>
      <x:c r="C59" s="63" t="str">
        <x:v>ADM-Karang Pilang</x:v>
      </x:c>
      <x:c r="D59" s="82" t="n">
        <x:v>46277</x:v>
      </x:c>
      <x:c r="E59" s="63" t="str">
        <x:v>Harga penawaran</x:v>
      </x:c>
      <x:c r="F59" s="83" t="n">
        <x:v>4000000</x:v>
      </x:c>
      <x:c r="G59" s="76" t="n">
        <x:f>Asumsi!$B$8</x:f>
        <x:v>0.1</x:v>
      </x:c>
      <x:c r="H59" s="84" t="n">
        <x:f>(D59-Asumsi!$B$6)/30.4375</x:f>
        <x:v>8.344969199178644</x:v>
      </x:c>
      <x:c r="I59" s="76" t="n">
        <x:f>Asumsi!$B$9</x:f>
        <x:v>0.05</x:v>
      </x:c>
      <x:c r="J59" s="76" t="n">
        <x:f>Asumsi!$B$10</x:f>
        <x:v>0</x:v>
      </x:c>
      <x:c r="K59" s="63" t="str">
        <x:f>IF(AND(F59&gt;=MEDIAN($F$57:$F$61)*Asumsi!$B$14,F59&lt;=MEDIAN($F$57:$F$61)*Asumsi!$B$15),"VALID","OUTLIER")</x:f>
        <x:v>VALID</x:v>
      </x:c>
      <x:c r="L59" s="85" t="n">
        <x:f>IF(COUNT(F59,G59,I59,J59)&lt;4,"",IF(K59="VALID",F59*(1-G59)/POWER(1+I59,H59/12)*(1+J59),""))</x:f>
        <x:v>3479903.2001848235</x:v>
      </x:c>
      <x:c r="M59" s="63" t="str">
        <x:v>https://www.rumah123.com/jual/surabaya/karangpilang/tanah/</x:v>
      </x:c>
      <x:c r="N59" s="63" t="str">
        <x:v>PROKSI IKLAN</x:v>
      </x:c>
      <x:c r="O59" s="63" t="str">
        <x:v>Belum verifikasi transaksi, koordinat, hak, luas, dan duplikasi iklan.</x:v>
      </x:c>
      <x:c r="P59" s="64"/>
      <x:c r="Q59" s="64"/>
    </x:row>
    <x:row r="60">
      <x:c r="A60" s="63" t="str">
        <x:v>SBY-11-4</x:v>
      </x:c>
      <x:c r="B60" s="63" t="str">
        <x:v>Karang Pilang</x:v>
      </x:c>
      <x:c r="C60" s="63" t="str">
        <x:v>ADM-Karang Pilang</x:v>
      </x:c>
      <x:c r="D60" s="82" t="n">
        <x:v>46277</x:v>
      </x:c>
      <x:c r="E60" s="63" t="str">
        <x:v>Harga penawaran</x:v>
      </x:c>
      <x:c r="F60" s="83" t="n">
        <x:v>9000000</x:v>
      </x:c>
      <x:c r="G60" s="76" t="n">
        <x:f>Asumsi!$B$8</x:f>
        <x:v>0.1</x:v>
      </x:c>
      <x:c r="H60" s="84" t="n">
        <x:f>(D60-Asumsi!$B$6)/30.4375</x:f>
        <x:v>8.344969199178644</x:v>
      </x:c>
      <x:c r="I60" s="76" t="n">
        <x:f>Asumsi!$B$9</x:f>
        <x:v>0.05</x:v>
      </x:c>
      <x:c r="J60" s="76" t="n">
        <x:f>Asumsi!$B$10</x:f>
        <x:v>0</x:v>
      </x:c>
      <x:c r="K60" s="63" t="str">
        <x:f>IF(AND(F60&gt;=MEDIAN($F$57:$F$61)*Asumsi!$B$14,F60&lt;=MEDIAN($F$57:$F$61)*Asumsi!$B$15),"VALID","OUTLIER")</x:f>
        <x:v>VALID</x:v>
      </x:c>
      <x:c r="L60" s="85" t="n">
        <x:f>IF(COUNT(F60,G60,I60,J60)&lt;4,"",IF(K60="VALID",F60*(1-G60)/POWER(1+I60,H60/12)*(1+J60),""))</x:f>
        <x:v>7829782.2004158525</x:v>
      </x:c>
      <x:c r="M60" s="63" t="str">
        <x:v>https://www.rumah123.com/jual/surabaya/karangpilang/tanah/</x:v>
      </x:c>
      <x:c r="N60" s="63" t="str">
        <x:v>PROKSI IKLAN</x:v>
      </x:c>
      <x:c r="O60" s="63" t="str">
        <x:v>Belum verifikasi transaksi, koordinat, hak, luas, dan duplikasi iklan.</x:v>
      </x:c>
      <x:c r="P60" s="64"/>
      <x:c r="Q60" s="64"/>
    </x:row>
    <x:row r="61">
      <x:c r="A61" s="63" t="str">
        <x:v>SBY-11-5</x:v>
      </x:c>
      <x:c r="B61" s="63" t="str">
        <x:v>Karang Pilang</x:v>
      </x:c>
      <x:c r="C61" s="63" t="str">
        <x:v>ADM-Karang Pilang</x:v>
      </x:c>
      <x:c r="D61" s="82" t="n">
        <x:v>46277</x:v>
      </x:c>
      <x:c r="E61" s="63" t="str">
        <x:v>Harga penawaran</x:v>
      </x:c>
      <x:c r="F61" s="83" t="n">
        <x:v>9000000</x:v>
      </x:c>
      <x:c r="G61" s="76" t="n">
        <x:f>Asumsi!$B$8</x:f>
        <x:v>0.1</x:v>
      </x:c>
      <x:c r="H61" s="84" t="n">
        <x:f>(D61-Asumsi!$B$6)/30.4375</x:f>
        <x:v>8.344969199178644</x:v>
      </x:c>
      <x:c r="I61" s="76" t="n">
        <x:f>Asumsi!$B$9</x:f>
        <x:v>0.05</x:v>
      </x:c>
      <x:c r="J61" s="76" t="n">
        <x:f>Asumsi!$B$10</x:f>
        <x:v>0</x:v>
      </x:c>
      <x:c r="K61" s="63" t="str">
        <x:f>IF(AND(F61&gt;=MEDIAN($F$57:$F$61)*Asumsi!$B$14,F61&lt;=MEDIAN($F$57:$F$61)*Asumsi!$B$15),"VALID","OUTLIER")</x:f>
        <x:v>VALID</x:v>
      </x:c>
      <x:c r="L61" s="85" t="n">
        <x:f>IF(COUNT(F61,G61,I61,J61)&lt;4,"",IF(K61="VALID",F61*(1-G61)/POWER(1+I61,H61/12)*(1+J61),""))</x:f>
        <x:v>7829782.2004158525</x:v>
      </x:c>
      <x:c r="M61" s="63" t="str">
        <x:v>https://www.rumah123.com/jual/surabaya/karangpilang/tanah/</x:v>
      </x:c>
      <x:c r="N61" s="63" t="str">
        <x:v>PROKSI IKLAN</x:v>
      </x:c>
      <x:c r="O61" s="63" t="str">
        <x:v>Belum verifikasi transaksi, koordinat, hak, luas, dan duplikasi iklan.</x:v>
      </x:c>
      <x:c r="P61" s="64"/>
      <x:c r="Q61" s="64"/>
    </x:row>
    <x:row r="62">
      <x:c r="A62" s="63" t="str">
        <x:v>SBY-12-1</x:v>
      </x:c>
      <x:c r="B62" s="63" t="str">
        <x:v>Kenjeran</x:v>
      </x:c>
      <x:c r="C62" s="63" t="str">
        <x:v>ADM-Kenjeran</x:v>
      </x:c>
      <x:c r="D62" s="82" t="n">
        <x:v>46277</x:v>
      </x:c>
      <x:c r="E62" s="63" t="str">
        <x:v>Harga penawaran</x:v>
      </x:c>
      <x:c r="F62" s="83" t="n">
        <x:v>10000000</x:v>
      </x:c>
      <x:c r="G62" s="76" t="n">
        <x:f>Asumsi!$B$8</x:f>
        <x:v>0.1</x:v>
      </x:c>
      <x:c r="H62" s="84" t="n">
        <x:f>(D62-Asumsi!$B$6)/30.4375</x:f>
        <x:v>8.344969199178644</x:v>
      </x:c>
      <x:c r="I62" s="76" t="n">
        <x:f>Asumsi!$B$9</x:f>
        <x:v>0.05</x:v>
      </x:c>
      <x:c r="J62" s="76" t="n">
        <x:f>Asumsi!$B$10</x:f>
        <x:v>0</x:v>
      </x:c>
      <x:c r="K62" s="63" t="str">
        <x:f>IF(AND(F62&gt;=MEDIAN($F$62:$F$66)*Asumsi!$B$14,F62&lt;=MEDIAN($F$62:$F$66)*Asumsi!$B$15),"VALID","OUTLIER")</x:f>
        <x:v>VALID</x:v>
      </x:c>
      <x:c r="L62" s="85" t="n">
        <x:f>IF(COUNT(F62,G62,I62,J62)&lt;4,"",IF(K62="VALID",F62*(1-G62)/POWER(1+I62,H62/12)*(1+J62),""))</x:f>
        <x:v>8699758.000462059</x:v>
      </x:c>
      <x:c r="M62" s="63" t="str">
        <x:v>https://www.rumah123.com/jual/surabaya/kenjeran/tanah/</x:v>
      </x:c>
      <x:c r="N62" s="63" t="str">
        <x:v>PROKSI IKLAN</x:v>
      </x:c>
      <x:c r="O62" s="63" t="str">
        <x:v>Belum verifikasi transaksi, koordinat, hak, luas, dan duplikasi iklan.</x:v>
      </x:c>
      <x:c r="P62" s="64"/>
      <x:c r="Q62" s="64"/>
    </x:row>
    <x:row r="63">
      <x:c r="A63" s="63" t="str">
        <x:v>SBY-12-2</x:v>
      </x:c>
      <x:c r="B63" s="63" t="str">
        <x:v>Kenjeran</x:v>
      </x:c>
      <x:c r="C63" s="63" t="str">
        <x:v>ADM-Kenjeran</x:v>
      </x:c>
      <x:c r="D63" s="82" t="n">
        <x:v>46277</x:v>
      </x:c>
      <x:c r="E63" s="63" t="str">
        <x:v>Harga penawaran</x:v>
      </x:c>
      <x:c r="F63" s="83" t="n">
        <x:v>10700000</x:v>
      </x:c>
      <x:c r="G63" s="76" t="n">
        <x:f>Asumsi!$B$8</x:f>
        <x:v>0.1</x:v>
      </x:c>
      <x:c r="H63" s="84" t="n">
        <x:f>(D63-Asumsi!$B$6)/30.4375</x:f>
        <x:v>8.344969199178644</x:v>
      </x:c>
      <x:c r="I63" s="76" t="n">
        <x:f>Asumsi!$B$9</x:f>
        <x:v>0.05</x:v>
      </x:c>
      <x:c r="J63" s="76" t="n">
        <x:f>Asumsi!$B$10</x:f>
        <x:v>0</x:v>
      </x:c>
      <x:c r="K63" s="63" t="str">
        <x:f>IF(AND(F63&gt;=MEDIAN($F$62:$F$66)*Asumsi!$B$14,F63&lt;=MEDIAN($F$62:$F$66)*Asumsi!$B$15),"VALID","OUTLIER")</x:f>
        <x:v>VALID</x:v>
      </x:c>
      <x:c r="L63" s="85" t="n">
        <x:f>IF(COUNT(F63,G63,I63,J63)&lt;4,"",IF(K63="VALID",F63*(1-G63)/POWER(1+I63,H63/12)*(1+J63),""))</x:f>
        <x:v>9308741.060494402</x:v>
      </x:c>
      <x:c r="M63" s="63" t="str">
        <x:v>https://www.rumah123.com/jual/surabaya/kenjeran/tanah/</x:v>
      </x:c>
      <x:c r="N63" s="63" t="str">
        <x:v>PROKSI IKLAN</x:v>
      </x:c>
      <x:c r="O63" s="63" t="str">
        <x:v>Belum verifikasi transaksi, koordinat, hak, luas, dan duplikasi iklan.</x:v>
      </x:c>
      <x:c r="P63" s="64"/>
      <x:c r="Q63" s="64"/>
    </x:row>
    <x:row r="64">
      <x:c r="A64" s="63" t="str">
        <x:v>SBY-12-3</x:v>
      </x:c>
      <x:c r="B64" s="63" t="str">
        <x:v>Kenjeran</x:v>
      </x:c>
      <x:c r="C64" s="63" t="str">
        <x:v>ADM-Kenjeran</x:v>
      </x:c>
      <x:c r="D64" s="82" t="n">
        <x:v>46277</x:v>
      </x:c>
      <x:c r="E64" s="63" t="str">
        <x:v>Harga penawaran</x:v>
      </x:c>
      <x:c r="F64" s="83" t="n">
        <x:v>6480000</x:v>
      </x:c>
      <x:c r="G64" s="76" t="n">
        <x:f>Asumsi!$B$8</x:f>
        <x:v>0.1</x:v>
      </x:c>
      <x:c r="H64" s="84" t="n">
        <x:f>(D64-Asumsi!$B$6)/30.4375</x:f>
        <x:v>8.344969199178644</x:v>
      </x:c>
      <x:c r="I64" s="76" t="n">
        <x:f>Asumsi!$B$9</x:f>
        <x:v>0.05</x:v>
      </x:c>
      <x:c r="J64" s="76" t="n">
        <x:f>Asumsi!$B$10</x:f>
        <x:v>0</x:v>
      </x:c>
      <x:c r="K64" s="63" t="str">
        <x:f>IF(AND(F64&gt;=MEDIAN($F$62:$F$66)*Asumsi!$B$14,F64&lt;=MEDIAN($F$62:$F$66)*Asumsi!$B$15),"VALID","OUTLIER")</x:f>
        <x:v>VALID</x:v>
      </x:c>
      <x:c r="L64" s="85" t="n">
        <x:f>IF(COUNT(F64,G64,I64,J64)&lt;4,"",IF(K64="VALID",F64*(1-G64)/POWER(1+I64,H64/12)*(1+J64),""))</x:f>
        <x:v>5637443.184299414</x:v>
      </x:c>
      <x:c r="M64" s="63" t="str">
        <x:v>https://www.rumah123.com/jual/surabaya/kenjeran/tanah/</x:v>
      </x:c>
      <x:c r="N64" s="63" t="str">
        <x:v>PROKSI IKLAN</x:v>
      </x:c>
      <x:c r="O64" s="63" t="str">
        <x:v>Belum verifikasi transaksi, koordinat, hak, luas, dan duplikasi iklan.</x:v>
      </x:c>
      <x:c r="P64" s="64"/>
      <x:c r="Q64" s="64"/>
    </x:row>
    <x:row r="65">
      <x:c r="A65" s="63" t="str">
        <x:v>SBY-12-4</x:v>
      </x:c>
      <x:c r="B65" s="63" t="str">
        <x:v>Kenjeran</x:v>
      </x:c>
      <x:c r="C65" s="63" t="str">
        <x:v>ADM-Kenjeran</x:v>
      </x:c>
      <x:c r="D65" s="82" t="n">
        <x:v>46277</x:v>
      </x:c>
      <x:c r="E65" s="63" t="str">
        <x:v>Harga penawaran</x:v>
      </x:c>
      <x:c r="F65" s="83" t="n">
        <x:v>10200000</x:v>
      </x:c>
      <x:c r="G65" s="76" t="n">
        <x:f>Asumsi!$B$8</x:f>
        <x:v>0.1</x:v>
      </x:c>
      <x:c r="H65" s="84" t="n">
        <x:f>(D65-Asumsi!$B$6)/30.4375</x:f>
        <x:v>8.344969199178644</x:v>
      </x:c>
      <x:c r="I65" s="76" t="n">
        <x:f>Asumsi!$B$9</x:f>
        <x:v>0.05</x:v>
      </x:c>
      <x:c r="J65" s="76" t="n">
        <x:f>Asumsi!$B$10</x:f>
        <x:v>0</x:v>
      </x:c>
      <x:c r="K65" s="63" t="str">
        <x:f>IF(AND(F65&gt;=MEDIAN($F$62:$F$66)*Asumsi!$B$14,F65&lt;=MEDIAN($F$62:$F$66)*Asumsi!$B$15),"VALID","OUTLIER")</x:f>
        <x:v>VALID</x:v>
      </x:c>
      <x:c r="L65" s="85" t="n">
        <x:f>IF(COUNT(F65,G65,I65,J65)&lt;4,"",IF(K65="VALID",F65*(1-G65)/POWER(1+I65,H65/12)*(1+J65),""))</x:f>
        <x:v>8873753.1604713</x:v>
      </x:c>
      <x:c r="M65" s="63" t="str">
        <x:v>https://www.rumah123.com/jual/surabaya/kenjeran/tanah/</x:v>
      </x:c>
      <x:c r="N65" s="63" t="str">
        <x:v>PROKSI IKLAN</x:v>
      </x:c>
      <x:c r="O65" s="63" t="str">
        <x:v>Belum verifikasi transaksi, koordinat, hak, luas, dan duplikasi iklan.</x:v>
      </x:c>
      <x:c r="P65" s="64"/>
      <x:c r="Q65" s="64"/>
    </x:row>
    <x:row r="66">
      <x:c r="A66" s="63" t="str">
        <x:v>SBY-12-5</x:v>
      </x:c>
      <x:c r="B66" s="63" t="str">
        <x:v>Kenjeran</x:v>
      </x:c>
      <x:c r="C66" s="63" t="str">
        <x:v>ADM-Kenjeran</x:v>
      </x:c>
      <x:c r="D66" s="82" t="n">
        <x:v>46277</x:v>
      </x:c>
      <x:c r="E66" s="63" t="str">
        <x:v>Harga penawaran</x:v>
      </x:c>
      <x:c r="F66" s="83" t="n">
        <x:v>9940000</x:v>
      </x:c>
      <x:c r="G66" s="76" t="n">
        <x:f>Asumsi!$B$8</x:f>
        <x:v>0.1</x:v>
      </x:c>
      <x:c r="H66" s="84" t="n">
        <x:f>(D66-Asumsi!$B$6)/30.4375</x:f>
        <x:v>8.344969199178644</x:v>
      </x:c>
      <x:c r="I66" s="76" t="n">
        <x:f>Asumsi!$B$9</x:f>
        <x:v>0.05</x:v>
      </x:c>
      <x:c r="J66" s="76" t="n">
        <x:f>Asumsi!$B$10</x:f>
        <x:v>0</x:v>
      </x:c>
      <x:c r="K66" s="63" t="str">
        <x:f>IF(AND(F66&gt;=MEDIAN($F$62:$F$66)*Asumsi!$B$14,F66&lt;=MEDIAN($F$62:$F$66)*Asumsi!$B$15),"VALID","OUTLIER")</x:f>
        <x:v>VALID</x:v>
      </x:c>
      <x:c r="L66" s="85" t="n">
        <x:f>IF(COUNT(F66,G66,I66,J66)&lt;4,"",IF(K66="VALID",F66*(1-G66)/POWER(1+I66,H66/12)*(1+J66),""))</x:f>
        <x:v>8647559.452459285</x:v>
      </x:c>
      <x:c r="M66" s="63" t="str">
        <x:v>https://www.rumah123.com/jual/surabaya/kenjeran/tanah/</x:v>
      </x:c>
      <x:c r="N66" s="63" t="str">
        <x:v>PROKSI IKLAN</x:v>
      </x:c>
      <x:c r="O66" s="63" t="str">
        <x:v>Belum verifikasi transaksi, koordinat, hak, luas, dan duplikasi iklan.</x:v>
      </x:c>
      <x:c r="P66" s="64"/>
      <x:c r="Q66" s="64"/>
    </x:row>
    <x:row r="67">
      <x:c r="A67" s="63" t="str">
        <x:v>SBY-13-1</x:v>
      </x:c>
      <x:c r="B67" s="63" t="str">
        <x:v>Krembangan</x:v>
      </x:c>
      <x:c r="C67" s="63" t="str">
        <x:v>ADM-Krembangan</x:v>
      </x:c>
      <x:c r="D67" s="82" t="n">
        <x:v>46277</x:v>
      </x:c>
      <x:c r="E67" s="63" t="str">
        <x:v>Harga penawaran</x:v>
      </x:c>
      <x:c r="F67" s="83" t="n">
        <x:v>7530000</x:v>
      </x:c>
      <x:c r="G67" s="76" t="n">
        <x:f>Asumsi!$B$8</x:f>
        <x:v>0.1</x:v>
      </x:c>
      <x:c r="H67" s="84" t="n">
        <x:f>(D67-Asumsi!$B$6)/30.4375</x:f>
        <x:v>8.344969199178644</x:v>
      </x:c>
      <x:c r="I67" s="76" t="n">
        <x:f>Asumsi!$B$9</x:f>
        <x:v>0.05</x:v>
      </x:c>
      <x:c r="J67" s="76" t="n">
        <x:f>Asumsi!$B$10</x:f>
        <x:v>0</x:v>
      </x:c>
      <x:c r="K67" s="63" t="str">
        <x:f>IF(AND(F67&gt;=MEDIAN($F$67:$F$71)*Asumsi!$B$14,F67&lt;=MEDIAN($F$67:$F$71)*Asumsi!$B$15),"VALID","OUTLIER")</x:f>
        <x:v>VALID</x:v>
      </x:c>
      <x:c r="L67" s="85" t="n">
        <x:f>IF(COUNT(F67,G67,I67,J67)&lt;4,"",IF(K67="VALID",F67*(1-G67)/POWER(1+I67,H67/12)*(1+J67),""))</x:f>
        <x:v>6550917.77434793</x:v>
      </x:c>
      <x:c r="M67" s="63" t="str">
        <x:v>https://www.rumah123.com/jual/surabaya/krembangan/tanah/</x:v>
      </x:c>
      <x:c r="N67" s="63" t="str">
        <x:v>PROKSI IKLAN</x:v>
      </x:c>
      <x:c r="O67" s="63" t="str">
        <x:v>Belum verifikasi transaksi, koordinat, hak, luas, dan duplikasi iklan.</x:v>
      </x:c>
      <x:c r="P67" s="64"/>
      <x:c r="Q67" s="64"/>
    </x:row>
    <x:row r="68">
      <x:c r="A68" s="63" t="str">
        <x:v>SBY-13-2</x:v>
      </x:c>
      <x:c r="B68" s="63" t="str">
        <x:v>Krembangan</x:v>
      </x:c>
      <x:c r="C68" s="63" t="str">
        <x:v>ADM-Krembangan</x:v>
      </x:c>
      <x:c r="D68" s="82" t="n">
        <x:v>46277</x:v>
      </x:c>
      <x:c r="E68" s="63" t="str">
        <x:v>Harga penawaran</x:v>
      </x:c>
      <x:c r="F68" s="83" t="n">
        <x:v>6490000</x:v>
      </x:c>
      <x:c r="G68" s="76" t="n">
        <x:f>Asumsi!$B$8</x:f>
        <x:v>0.1</x:v>
      </x:c>
      <x:c r="H68" s="84" t="n">
        <x:f>(D68-Asumsi!$B$6)/30.4375</x:f>
        <x:v>8.344969199178644</x:v>
      </x:c>
      <x:c r="I68" s="76" t="n">
        <x:f>Asumsi!$B$9</x:f>
        <x:v>0.05</x:v>
      </x:c>
      <x:c r="J68" s="76" t="n">
        <x:f>Asumsi!$B$10</x:f>
        <x:v>0</x:v>
      </x:c>
      <x:c r="K68" s="63" t="str">
        <x:f>IF(AND(F68&gt;=MEDIAN($F$67:$F$71)*Asumsi!$B$14,F68&lt;=MEDIAN($F$67:$F$71)*Asumsi!$B$15),"VALID","OUTLIER")</x:f>
        <x:v>VALID</x:v>
      </x:c>
      <x:c r="L68" s="85" t="n">
        <x:f>IF(COUNT(F68,G68,I68,J68)&lt;4,"",IF(K68="VALID",F68*(1-G68)/POWER(1+I68,H68/12)*(1+J68),""))</x:f>
        <x:v>5646142.942299875</x:v>
      </x:c>
      <x:c r="M68" s="63" t="str">
        <x:v>https://www.rumah123.com/jual/surabaya/krembangan/tanah/</x:v>
      </x:c>
      <x:c r="N68" s="63" t="str">
        <x:v>PROKSI IKLAN</x:v>
      </x:c>
      <x:c r="O68" s="63" t="str">
        <x:v>Belum verifikasi transaksi, koordinat, hak, luas, dan duplikasi iklan.</x:v>
      </x:c>
      <x:c r="P68" s="64"/>
      <x:c r="Q68" s="64"/>
    </x:row>
    <x:row r="69">
      <x:c r="A69" s="63" t="str">
        <x:v>SBY-13-3</x:v>
      </x:c>
      <x:c r="B69" s="63" t="str">
        <x:v>Krembangan</x:v>
      </x:c>
      <x:c r="C69" s="63" t="str">
        <x:v>ADM-Krembangan</x:v>
      </x:c>
      <x:c r="D69" s="82" t="n">
        <x:v>46277</x:v>
      </x:c>
      <x:c r="E69" s="63" t="str">
        <x:v>Harga penawaran</x:v>
      </x:c>
      <x:c r="F69" s="83" t="n">
        <x:v>12000000</x:v>
      </x:c>
      <x:c r="G69" s="76" t="n">
        <x:f>Asumsi!$B$8</x:f>
        <x:v>0.1</x:v>
      </x:c>
      <x:c r="H69" s="84" t="n">
        <x:f>(D69-Asumsi!$B$6)/30.4375</x:f>
        <x:v>8.344969199178644</x:v>
      </x:c>
      <x:c r="I69" s="76" t="n">
        <x:f>Asumsi!$B$9</x:f>
        <x:v>0.05</x:v>
      </x:c>
      <x:c r="J69" s="76" t="n">
        <x:f>Asumsi!$B$10</x:f>
        <x:v>0</x:v>
      </x:c>
      <x:c r="K69" s="63" t="str">
        <x:f>IF(AND(F69&gt;=MEDIAN($F$67:$F$71)*Asumsi!$B$14,F69&lt;=MEDIAN($F$67:$F$71)*Asumsi!$B$15),"VALID","OUTLIER")</x:f>
        <x:v>VALID</x:v>
      </x:c>
      <x:c r="L69" s="85" t="n">
        <x:f>IF(COUNT(F69,G69,I69,J69)&lt;4,"",IF(K69="VALID",F69*(1-G69)/POWER(1+I69,H69/12)*(1+J69),""))</x:f>
        <x:v>10439709.60055447</x:v>
      </x:c>
      <x:c r="M69" s="63" t="str">
        <x:v>https://www.rumah123.com/jual/surabaya/krembangan/tanah/</x:v>
      </x:c>
      <x:c r="N69" s="63" t="str">
        <x:v>PROKSI IKLAN</x:v>
      </x:c>
      <x:c r="O69" s="63" t="str">
        <x:v>Belum verifikasi transaksi, koordinat, hak, luas, dan duplikasi iklan.</x:v>
      </x:c>
      <x:c r="P69" s="64"/>
      <x:c r="Q69" s="64"/>
    </x:row>
    <x:row r="70">
      <x:c r="A70" s="63" t="str">
        <x:v>SBY-13-4</x:v>
      </x:c>
      <x:c r="B70" s="63" t="str">
        <x:v>Krembangan</x:v>
      </x:c>
      <x:c r="C70" s="63" t="str">
        <x:v>ADM-Krembangan</x:v>
      </x:c>
      <x:c r="D70" s="82" t="n">
        <x:v>46277</x:v>
      </x:c>
      <x:c r="E70" s="63" t="str">
        <x:v>Harga penawaran</x:v>
      </x:c>
      <x:c r="F70" s="83" t="n">
        <x:v>8070000</x:v>
      </x:c>
      <x:c r="G70" s="76" t="n">
        <x:f>Asumsi!$B$8</x:f>
        <x:v>0.1</x:v>
      </x:c>
      <x:c r="H70" s="84" t="n">
        <x:f>(D70-Asumsi!$B$6)/30.4375</x:f>
        <x:v>8.344969199178644</x:v>
      </x:c>
      <x:c r="I70" s="76" t="n">
        <x:f>Asumsi!$B$9</x:f>
        <x:v>0.05</x:v>
      </x:c>
      <x:c r="J70" s="76" t="n">
        <x:f>Asumsi!$B$10</x:f>
        <x:v>0</x:v>
      </x:c>
      <x:c r="K70" s="63" t="str">
        <x:f>IF(AND(F70&gt;=MEDIAN($F$67:$F$71)*Asumsi!$B$14,F70&lt;=MEDIAN($F$67:$F$71)*Asumsi!$B$15),"VALID","OUTLIER")</x:f>
        <x:v>VALID</x:v>
      </x:c>
      <x:c r="L70" s="85" t="n">
        <x:f>IF(COUNT(F70,G70,I70,J70)&lt;4,"",IF(K70="VALID",F70*(1-G70)/POWER(1+I70,H70/12)*(1+J70),""))</x:f>
        <x:v>7020704.706372881</x:v>
      </x:c>
      <x:c r="M70" s="63" t="str">
        <x:v>https://www.rumah123.com/jual/surabaya/krembangan/tanah/</x:v>
      </x:c>
      <x:c r="N70" s="63" t="str">
        <x:v>PROKSI IKLAN</x:v>
      </x:c>
      <x:c r="O70" s="63" t="str">
        <x:v>Belum verifikasi transaksi, koordinat, hak, luas, dan duplikasi iklan.</x:v>
      </x:c>
      <x:c r="P70" s="64"/>
      <x:c r="Q70" s="64"/>
    </x:row>
    <x:row r="71">
      <x:c r="A71" s="63" t="str">
        <x:v>SBY-13-5</x:v>
      </x:c>
      <x:c r="B71" s="63" t="str">
        <x:v>Krembangan</x:v>
      </x:c>
      <x:c r="C71" s="63" t="str">
        <x:v>ADM-Krembangan</x:v>
      </x:c>
      <x:c r="D71" s="82" t="n">
        <x:v>46277</x:v>
      </x:c>
      <x:c r="E71" s="63" t="str">
        <x:v>Harga penawaran</x:v>
      </x:c>
      <x:c r="F71" s="83" t="n">
        <x:v>15000000</x:v>
      </x:c>
      <x:c r="G71" s="76" t="n">
        <x:f>Asumsi!$B$8</x:f>
        <x:v>0.1</x:v>
      </x:c>
      <x:c r="H71" s="84" t="n">
        <x:f>(D71-Asumsi!$B$6)/30.4375</x:f>
        <x:v>8.344969199178644</x:v>
      </x:c>
      <x:c r="I71" s="76" t="n">
        <x:f>Asumsi!$B$9</x:f>
        <x:v>0.05</x:v>
      </x:c>
      <x:c r="J71" s="76" t="n">
        <x:f>Asumsi!$B$10</x:f>
        <x:v>0</x:v>
      </x:c>
      <x:c r="K71" s="63" t="str">
        <x:f>IF(AND(F71&gt;=MEDIAN($F$67:$F$71)*Asumsi!$B$14,F71&lt;=MEDIAN($F$67:$F$71)*Asumsi!$B$15),"VALID","OUTLIER")</x:f>
        <x:v>VALID</x:v>
      </x:c>
      <x:c r="L71" s="85" t="n">
        <x:f>IF(COUNT(F71,G71,I71,J71)&lt;4,"",IF(K71="VALID",F71*(1-G71)/POWER(1+I71,H71/12)*(1+J71),""))</x:f>
        <x:v>13049637.000693087</x:v>
      </x:c>
      <x:c r="M71" s="63" t="str">
        <x:v>https://www.rumah123.com/jual/surabaya/krembangan/tanah/</x:v>
      </x:c>
      <x:c r="N71" s="63" t="str">
        <x:v>PROKSI IKLAN</x:v>
      </x:c>
      <x:c r="O71" s="63" t="str">
        <x:v>Belum verifikasi transaksi, koordinat, hak, luas, dan duplikasi iklan.</x:v>
      </x:c>
      <x:c r="P71" s="64"/>
      <x:c r="Q71" s="64"/>
    </x:row>
    <x:row r="72">
      <x:c r="A72" s="63" t="str">
        <x:v>SBY-14-1</x:v>
      </x:c>
      <x:c r="B72" s="63" t="str">
        <x:v>Lakarsantri</x:v>
      </x:c>
      <x:c r="C72" s="63" t="str">
        <x:v>ADM-Lakarsantri</x:v>
      </x:c>
      <x:c r="D72" s="82" t="n">
        <x:v>46277</x:v>
      </x:c>
      <x:c r="E72" s="63" t="str">
        <x:v>Harga penawaran</x:v>
      </x:c>
      <x:c r="F72" s="83" t="n">
        <x:v>6500000</x:v>
      </x:c>
      <x:c r="G72" s="76" t="n">
        <x:f>Asumsi!$B$8</x:f>
        <x:v>0.1</x:v>
      </x:c>
      <x:c r="H72" s="84" t="n">
        <x:f>(D72-Asumsi!$B$6)/30.4375</x:f>
        <x:v>8.344969199178644</x:v>
      </x:c>
      <x:c r="I72" s="76" t="n">
        <x:f>Asumsi!$B$9</x:f>
        <x:v>0.05</x:v>
      </x:c>
      <x:c r="J72" s="76" t="n">
        <x:f>Asumsi!$B$10</x:f>
        <x:v>0</x:v>
      </x:c>
      <x:c r="K72" s="63" t="str">
        <x:f>IF(AND(F72&gt;=MEDIAN($F$72:$F$76)*Asumsi!$B$14,F72&lt;=MEDIAN($F$72:$F$76)*Asumsi!$B$15),"VALID","OUTLIER")</x:f>
        <x:v>VALID</x:v>
      </x:c>
      <x:c r="L72" s="85" t="n">
        <x:f>IF(COUNT(F72,G72,I72,J72)&lt;4,"",IF(K72="VALID",F72*(1-G72)/POWER(1+I72,H72/12)*(1+J72),""))</x:f>
        <x:v>5654842.700300338</x:v>
      </x:c>
      <x:c r="M72" s="63" t="str">
        <x:v>https://www.rumah123.com/jual/surabaya/lakarsantri/tanah/</x:v>
      </x:c>
      <x:c r="N72" s="63" t="str">
        <x:v>PROKSI IKLAN</x:v>
      </x:c>
      <x:c r="O72" s="63" t="str">
        <x:v>Belum verifikasi transaksi, koordinat, hak, luas, dan duplikasi iklan.</x:v>
      </x:c>
      <x:c r="P72" s="64"/>
      <x:c r="Q72" s="64"/>
    </x:row>
    <x:row r="73">
      <x:c r="A73" s="63" t="str">
        <x:v>SBY-14-2</x:v>
      </x:c>
      <x:c r="B73" s="63" t="str">
        <x:v>Lakarsantri</x:v>
      </x:c>
      <x:c r="C73" s="63" t="str">
        <x:v>ADM-Lakarsantri</x:v>
      </x:c>
      <x:c r="D73" s="82" t="n">
        <x:v>46277</x:v>
      </x:c>
      <x:c r="E73" s="63" t="str">
        <x:v>Harga penawaran</x:v>
      </x:c>
      <x:c r="F73" s="83" t="n">
        <x:v>19500000</x:v>
      </x:c>
      <x:c r="G73" s="76" t="n">
        <x:f>Asumsi!$B$8</x:f>
        <x:v>0.1</x:v>
      </x:c>
      <x:c r="H73" s="84" t="n">
        <x:f>(D73-Asumsi!$B$6)/30.4375</x:f>
        <x:v>8.344969199178644</x:v>
      </x:c>
      <x:c r="I73" s="76" t="n">
        <x:f>Asumsi!$B$9</x:f>
        <x:v>0.05</x:v>
      </x:c>
      <x:c r="J73" s="76" t="n">
        <x:f>Asumsi!$B$10</x:f>
        <x:v>0</x:v>
      </x:c>
      <x:c r="K73" s="63" t="str">
        <x:f>IF(AND(F73&gt;=MEDIAN($F$72:$F$76)*Asumsi!$B$14,F73&lt;=MEDIAN($F$72:$F$76)*Asumsi!$B$15),"VALID","OUTLIER")</x:f>
        <x:v>VALID</x:v>
      </x:c>
      <x:c r="L73" s="85" t="n">
        <x:f>IF(COUNT(F73,G73,I73,J73)&lt;4,"",IF(K73="VALID",F73*(1-G73)/POWER(1+I73,H73/12)*(1+J73),""))</x:f>
        <x:v>16964528.100901015</x:v>
      </x:c>
      <x:c r="M73" s="63" t="str">
        <x:v>https://www.rumah123.com/jual/surabaya/lakarsantri/tanah/</x:v>
      </x:c>
      <x:c r="N73" s="63" t="str">
        <x:v>PROKSI IKLAN</x:v>
      </x:c>
      <x:c r="O73" s="63" t="str">
        <x:v>Belum verifikasi transaksi, koordinat, hak, luas, dan duplikasi iklan.</x:v>
      </x:c>
      <x:c r="P73" s="64"/>
      <x:c r="Q73" s="64"/>
    </x:row>
    <x:row r="74">
      <x:c r="A74" s="63" t="str">
        <x:v>SBY-14-3</x:v>
      </x:c>
      <x:c r="B74" s="63" t="str">
        <x:v>Lakarsantri</x:v>
      </x:c>
      <x:c r="C74" s="63" t="str">
        <x:v>ADM-Lakarsantri</x:v>
      </x:c>
      <x:c r="D74" s="82" t="n">
        <x:v>46277</x:v>
      </x:c>
      <x:c r="E74" s="63" t="str">
        <x:v>Harga penawaran</x:v>
      </x:c>
      <x:c r="F74" s="83" t="n">
        <x:v>15000000</x:v>
      </x:c>
      <x:c r="G74" s="76" t="n">
        <x:f>Asumsi!$B$8</x:f>
        <x:v>0.1</x:v>
      </x:c>
      <x:c r="H74" s="84" t="n">
        <x:f>(D74-Asumsi!$B$6)/30.4375</x:f>
        <x:v>8.344969199178644</x:v>
      </x:c>
      <x:c r="I74" s="76" t="n">
        <x:f>Asumsi!$B$9</x:f>
        <x:v>0.05</x:v>
      </x:c>
      <x:c r="J74" s="76" t="n">
        <x:f>Asumsi!$B$10</x:f>
        <x:v>0</x:v>
      </x:c>
      <x:c r="K74" s="63" t="str">
        <x:f>IF(AND(F74&gt;=MEDIAN($F$72:$F$76)*Asumsi!$B$14,F74&lt;=MEDIAN($F$72:$F$76)*Asumsi!$B$15),"VALID","OUTLIER")</x:f>
        <x:v>VALID</x:v>
      </x:c>
      <x:c r="L74" s="85" t="n">
        <x:f>IF(COUNT(F74,G74,I74,J74)&lt;4,"",IF(K74="VALID",F74*(1-G74)/POWER(1+I74,H74/12)*(1+J74),""))</x:f>
        <x:v>13049637.000693087</x:v>
      </x:c>
      <x:c r="M74" s="63" t="str">
        <x:v>https://www.rumah123.com/jual/surabaya/lakarsantri/tanah/</x:v>
      </x:c>
      <x:c r="N74" s="63" t="str">
        <x:v>PROKSI IKLAN</x:v>
      </x:c>
      <x:c r="O74" s="63" t="str">
        <x:v>Belum verifikasi transaksi, koordinat, hak, luas, dan duplikasi iklan.</x:v>
      </x:c>
      <x:c r="P74" s="64"/>
      <x:c r="Q74" s="64"/>
    </x:row>
    <x:row r="75">
      <x:c r="A75" s="63" t="str">
        <x:v>SBY-14-4</x:v>
      </x:c>
      <x:c r="B75" s="63" t="str">
        <x:v>Lakarsantri</x:v>
      </x:c>
      <x:c r="C75" s="63" t="str">
        <x:v>ADM-Lakarsantri</x:v>
      </x:c>
      <x:c r="D75" s="82" t="n">
        <x:v>46277</x:v>
      </x:c>
      <x:c r="E75" s="63" t="str">
        <x:v>Harga penawaran</x:v>
      </x:c>
      <x:c r="F75" s="83" t="n">
        <x:v>14900000</x:v>
      </x:c>
      <x:c r="G75" s="76" t="n">
        <x:f>Asumsi!$B$8</x:f>
        <x:v>0.1</x:v>
      </x:c>
      <x:c r="H75" s="84" t="n">
        <x:f>(D75-Asumsi!$B$6)/30.4375</x:f>
        <x:v>8.344969199178644</x:v>
      </x:c>
      <x:c r="I75" s="76" t="n">
        <x:f>Asumsi!$B$9</x:f>
        <x:v>0.05</x:v>
      </x:c>
      <x:c r="J75" s="76" t="n">
        <x:f>Asumsi!$B$10</x:f>
        <x:v>0</x:v>
      </x:c>
      <x:c r="K75" s="63" t="str">
        <x:f>IF(AND(F75&gt;=MEDIAN($F$72:$F$76)*Asumsi!$B$14,F75&lt;=MEDIAN($F$72:$F$76)*Asumsi!$B$15),"VALID","OUTLIER")</x:f>
        <x:v>VALID</x:v>
      </x:c>
      <x:c r="L75" s="85" t="n">
        <x:f>IF(COUNT(F75,G75,I75,J75)&lt;4,"",IF(K75="VALID",F75*(1-G75)/POWER(1+I75,H75/12)*(1+J75),""))</x:f>
        <x:v>12962639.420688467</x:v>
      </x:c>
      <x:c r="M75" s="63" t="str">
        <x:v>https://www.rumah123.com/jual/surabaya/lakarsantri/tanah/</x:v>
      </x:c>
      <x:c r="N75" s="63" t="str">
        <x:v>PROKSI IKLAN</x:v>
      </x:c>
      <x:c r="O75" s="63" t="str">
        <x:v>Belum verifikasi transaksi, koordinat, hak, luas, dan duplikasi iklan.</x:v>
      </x:c>
      <x:c r="P75" s="64"/>
      <x:c r="Q75" s="64"/>
    </x:row>
    <x:row r="76">
      <x:c r="A76" s="63" t="str">
        <x:v>SBY-14-5</x:v>
      </x:c>
      <x:c r="B76" s="63" t="str">
        <x:v>Lakarsantri</x:v>
      </x:c>
      <x:c r="C76" s="63" t="str">
        <x:v>ADM-Lakarsantri</x:v>
      </x:c>
      <x:c r="D76" s="82" t="n">
        <x:v>46277</x:v>
      </x:c>
      <x:c r="E76" s="63" t="str">
        <x:v>Harga penawaran</x:v>
      </x:c>
      <x:c r="F76" s="83" t="n">
        <x:v>21000000</x:v>
      </x:c>
      <x:c r="G76" s="76" t="n">
        <x:f>Asumsi!$B$8</x:f>
        <x:v>0.1</x:v>
      </x:c>
      <x:c r="H76" s="84" t="n">
        <x:f>(D76-Asumsi!$B$6)/30.4375</x:f>
        <x:v>8.344969199178644</x:v>
      </x:c>
      <x:c r="I76" s="76" t="n">
        <x:f>Asumsi!$B$9</x:f>
        <x:v>0.05</x:v>
      </x:c>
      <x:c r="J76" s="76" t="n">
        <x:f>Asumsi!$B$10</x:f>
        <x:v>0</x:v>
      </x:c>
      <x:c r="K76" s="63" t="str">
        <x:f>IF(AND(F76&gt;=MEDIAN($F$72:$F$76)*Asumsi!$B$14,F76&lt;=MEDIAN($F$72:$F$76)*Asumsi!$B$15),"VALID","OUTLIER")</x:f>
        <x:v>VALID</x:v>
      </x:c>
      <x:c r="L76" s="85" t="n">
        <x:f>IF(COUNT(F76,G76,I76,J76)&lt;4,"",IF(K76="VALID",F76*(1-G76)/POWER(1+I76,H76/12)*(1+J76),""))</x:f>
        <x:v>18269491.800970323</x:v>
      </x:c>
      <x:c r="M76" s="63" t="str">
        <x:v>https://www.rumah123.com/jual/surabaya/lakarsantri/tanah/</x:v>
      </x:c>
      <x:c r="N76" s="63" t="str">
        <x:v>PROKSI IKLAN</x:v>
      </x:c>
      <x:c r="O76" s="63" t="str">
        <x:v>Belum verifikasi transaksi, koordinat, hak, luas, dan duplikasi iklan.</x:v>
      </x:c>
      <x:c r="P76" s="64"/>
      <x:c r="Q76" s="64"/>
    </x:row>
    <x:row r="77">
      <x:c r="A77" s="63" t="str">
        <x:v>SBY-15-1</x:v>
      </x:c>
      <x:c r="B77" s="63" t="str">
        <x:v>Mulyorejo</x:v>
      </x:c>
      <x:c r="C77" s="63" t="str">
        <x:v>ADM-Mulyorejo</x:v>
      </x:c>
      <x:c r="D77" s="82" t="n">
        <x:v>46277</x:v>
      </x:c>
      <x:c r="E77" s="63" t="str">
        <x:v>Harga penawaran</x:v>
      </x:c>
      <x:c r="F77" s="83" t="n">
        <x:v>18100000</x:v>
      </x:c>
      <x:c r="G77" s="76" t="n">
        <x:f>Asumsi!$B$8</x:f>
        <x:v>0.1</x:v>
      </x:c>
      <x:c r="H77" s="84" t="n">
        <x:f>(D77-Asumsi!$B$6)/30.4375</x:f>
        <x:v>8.344969199178644</x:v>
      </x:c>
      <x:c r="I77" s="76" t="n">
        <x:f>Asumsi!$B$9</x:f>
        <x:v>0.05</x:v>
      </x:c>
      <x:c r="J77" s="76" t="n">
        <x:f>Asumsi!$B$10</x:f>
        <x:v>0</x:v>
      </x:c>
      <x:c r="K77" s="63" t="str">
        <x:f>IF(AND(F77&gt;=MEDIAN($F$77:$F$81)*Asumsi!$B$14,F77&lt;=MEDIAN($F$77:$F$81)*Asumsi!$B$15),"VALID","OUTLIER")</x:f>
        <x:v>VALID</x:v>
      </x:c>
      <x:c r="L77" s="85" t="n">
        <x:f>IF(COUNT(F77,G77,I77,J77)&lt;4,"",IF(K77="VALID",F77*(1-G77)/POWER(1+I77,H77/12)*(1+J77),""))</x:f>
        <x:v>15746561.980836326</x:v>
      </x:c>
      <x:c r="M77" s="63" t="str">
        <x:v>https://www.rumah123.com/jual/surabaya/mulyorejo/tanah/</x:v>
      </x:c>
      <x:c r="N77" s="63" t="str">
        <x:v>PROKSI IKLAN</x:v>
      </x:c>
      <x:c r="O77" s="63" t="str">
        <x:v>Belum verifikasi transaksi, koordinat, hak, luas, dan duplikasi iklan.</x:v>
      </x:c>
      <x:c r="P77" s="64"/>
      <x:c r="Q77" s="64"/>
    </x:row>
    <x:row r="78">
      <x:c r="A78" s="63" t="str">
        <x:v>SBY-15-2</x:v>
      </x:c>
      <x:c r="B78" s="63" t="str">
        <x:v>Mulyorejo</x:v>
      </x:c>
      <x:c r="C78" s="63" t="str">
        <x:v>ADM-Mulyorejo</x:v>
      </x:c>
      <x:c r="D78" s="82" t="n">
        <x:v>46277</x:v>
      </x:c>
      <x:c r="E78" s="63" t="str">
        <x:v>Harga penawaran</x:v>
      </x:c>
      <x:c r="F78" s="83" t="n">
        <x:v>13600000</x:v>
      </x:c>
      <x:c r="G78" s="76" t="n">
        <x:f>Asumsi!$B$8</x:f>
        <x:v>0.1</x:v>
      </x:c>
      <x:c r="H78" s="84" t="n">
        <x:f>(D78-Asumsi!$B$6)/30.4375</x:f>
        <x:v>8.344969199178644</x:v>
      </x:c>
      <x:c r="I78" s="76" t="n">
        <x:f>Asumsi!$B$9</x:f>
        <x:v>0.05</x:v>
      </x:c>
      <x:c r="J78" s="76" t="n">
        <x:f>Asumsi!$B$10</x:f>
        <x:v>0</x:v>
      </x:c>
      <x:c r="K78" s="63" t="str">
        <x:f>IF(AND(F78&gt;=MEDIAN($F$77:$F$81)*Asumsi!$B$14,F78&lt;=MEDIAN($F$77:$F$81)*Asumsi!$B$15),"VALID","OUTLIER")</x:f>
        <x:v>VALID</x:v>
      </x:c>
      <x:c r="L78" s="85" t="n">
        <x:f>IF(COUNT(F78,G78,I78,J78)&lt;4,"",IF(K78="VALID",F78*(1-G78)/POWER(1+I78,H78/12)*(1+J78),""))</x:f>
        <x:v>11831670.8806284</x:v>
      </x:c>
      <x:c r="M78" s="63" t="str">
        <x:v>https://www.rumah123.com/jual/surabaya/mulyorejo/tanah/</x:v>
      </x:c>
      <x:c r="N78" s="63" t="str">
        <x:v>PROKSI IKLAN</x:v>
      </x:c>
      <x:c r="O78" s="63" t="str">
        <x:v>Belum verifikasi transaksi, koordinat, hak, luas, dan duplikasi iklan.</x:v>
      </x:c>
      <x:c r="P78" s="64"/>
      <x:c r="Q78" s="64"/>
    </x:row>
    <x:row r="79">
      <x:c r="A79" s="63" t="str">
        <x:v>SBY-15-3</x:v>
      </x:c>
      <x:c r="B79" s="63" t="str">
        <x:v>Mulyorejo</x:v>
      </x:c>
      <x:c r="C79" s="63" t="str">
        <x:v>ADM-Mulyorejo</x:v>
      </x:c>
      <x:c r="D79" s="82" t="n">
        <x:v>46277</x:v>
      </x:c>
      <x:c r="E79" s="63" t="str">
        <x:v>Harga penawaran</x:v>
      </x:c>
      <x:c r="F79" s="83" t="n">
        <x:v>22500000</x:v>
      </x:c>
      <x:c r="G79" s="76" t="n">
        <x:f>Asumsi!$B$8</x:f>
        <x:v>0.1</x:v>
      </x:c>
      <x:c r="H79" s="84" t="n">
        <x:f>(D79-Asumsi!$B$6)/30.4375</x:f>
        <x:v>8.344969199178644</x:v>
      </x:c>
      <x:c r="I79" s="76" t="n">
        <x:f>Asumsi!$B$9</x:f>
        <x:v>0.05</x:v>
      </x:c>
      <x:c r="J79" s="76" t="n">
        <x:f>Asumsi!$B$10</x:f>
        <x:v>0</x:v>
      </x:c>
      <x:c r="K79" s="63" t="str">
        <x:f>IF(AND(F79&gt;=MEDIAN($F$77:$F$81)*Asumsi!$B$14,F79&lt;=MEDIAN($F$77:$F$81)*Asumsi!$B$15),"VALID","OUTLIER")</x:f>
        <x:v>VALID</x:v>
      </x:c>
      <x:c r="L79" s="85" t="n">
        <x:f>IF(COUNT(F79,G79,I79,J79)&lt;4,"",IF(K79="VALID",F79*(1-G79)/POWER(1+I79,H79/12)*(1+J79),""))</x:f>
        <x:v>19574455.50103963</x:v>
      </x:c>
      <x:c r="M79" s="63" t="str">
        <x:v>https://www.rumah123.com/jual/surabaya/mulyorejo/tanah/</x:v>
      </x:c>
      <x:c r="N79" s="63" t="str">
        <x:v>PROKSI IKLAN</x:v>
      </x:c>
      <x:c r="O79" s="63" t="str">
        <x:v>Belum verifikasi transaksi, koordinat, hak, luas, dan duplikasi iklan.</x:v>
      </x:c>
      <x:c r="P79" s="64"/>
      <x:c r="Q79" s="64"/>
    </x:row>
    <x:row r="80">
      <x:c r="A80" s="63" t="str">
        <x:v>SBY-15-4</x:v>
      </x:c>
      <x:c r="B80" s="63" t="str">
        <x:v>Mulyorejo</x:v>
      </x:c>
      <x:c r="C80" s="63" t="str">
        <x:v>ADM-Mulyorejo</x:v>
      </x:c>
      <x:c r="D80" s="82" t="n">
        <x:v>46277</x:v>
      </x:c>
      <x:c r="E80" s="63" t="str">
        <x:v>Harga penawaran</x:v>
      </x:c>
      <x:c r="F80" s="83" t="n">
        <x:v>30000000</x:v>
      </x:c>
      <x:c r="G80" s="76" t="n">
        <x:f>Asumsi!$B$8</x:f>
        <x:v>0.1</x:v>
      </x:c>
      <x:c r="H80" s="84" t="n">
        <x:f>(D80-Asumsi!$B$6)/30.4375</x:f>
        <x:v>8.344969199178644</x:v>
      </x:c>
      <x:c r="I80" s="76" t="n">
        <x:f>Asumsi!$B$9</x:f>
        <x:v>0.05</x:v>
      </x:c>
      <x:c r="J80" s="76" t="n">
        <x:f>Asumsi!$B$10</x:f>
        <x:v>0</x:v>
      </x:c>
      <x:c r="K80" s="63" t="str">
        <x:f>IF(AND(F80&gt;=MEDIAN($F$77:$F$81)*Asumsi!$B$14,F80&lt;=MEDIAN($F$77:$F$81)*Asumsi!$B$15),"VALID","OUTLIER")</x:f>
        <x:v>VALID</x:v>
      </x:c>
      <x:c r="L80" s="85" t="n">
        <x:f>IF(COUNT(F80,G80,I80,J80)&lt;4,"",IF(K80="VALID",F80*(1-G80)/POWER(1+I80,H80/12)*(1+J80),""))</x:f>
        <x:v>26099274.001386173</x:v>
      </x:c>
      <x:c r="M80" s="63" t="str">
        <x:v>https://www.rumah123.com/jual/surabaya/mulyorejo/tanah/</x:v>
      </x:c>
      <x:c r="N80" s="63" t="str">
        <x:v>PROKSI IKLAN</x:v>
      </x:c>
      <x:c r="O80" s="63" t="str">
        <x:v>Belum verifikasi transaksi, koordinat, hak, luas, dan duplikasi iklan.</x:v>
      </x:c>
      <x:c r="P80" s="64"/>
      <x:c r="Q80" s="64"/>
    </x:row>
    <x:row r="81">
      <x:c r="A81" s="63" t="str">
        <x:v>SBY-15-5</x:v>
      </x:c>
      <x:c r="B81" s="63" t="str">
        <x:v>Mulyorejo</x:v>
      </x:c>
      <x:c r="C81" s="63" t="str">
        <x:v>ADM-Mulyorejo</x:v>
      </x:c>
      <x:c r="D81" s="82" t="n">
        <x:v>46277</x:v>
      </x:c>
      <x:c r="E81" s="63" t="str">
        <x:v>Harga penawaran</x:v>
      </x:c>
      <x:c r="F81" s="83" t="n">
        <x:v>35000000</x:v>
      </x:c>
      <x:c r="G81" s="76" t="n">
        <x:f>Asumsi!$B$8</x:f>
        <x:v>0.1</x:v>
      </x:c>
      <x:c r="H81" s="84" t="n">
        <x:f>(D81-Asumsi!$B$6)/30.4375</x:f>
        <x:v>8.344969199178644</x:v>
      </x:c>
      <x:c r="I81" s="76" t="n">
        <x:f>Asumsi!$B$9</x:f>
        <x:v>0.05</x:v>
      </x:c>
      <x:c r="J81" s="76" t="n">
        <x:f>Asumsi!$B$10</x:f>
        <x:v>0</x:v>
      </x:c>
      <x:c r="K81" s="63" t="str">
        <x:f>IF(AND(F81&gt;=MEDIAN($F$77:$F$81)*Asumsi!$B$14,F81&lt;=MEDIAN($F$77:$F$81)*Asumsi!$B$15),"VALID","OUTLIER")</x:f>
        <x:v>VALID</x:v>
      </x:c>
      <x:c r="L81" s="85" t="n">
        <x:f>IF(COUNT(F81,G81,I81,J81)&lt;4,"",IF(K81="VALID",F81*(1-G81)/POWER(1+I81,H81/12)*(1+J81),""))</x:f>
        <x:v>30449153.001617204</x:v>
      </x:c>
      <x:c r="M81" s="63" t="str">
        <x:v>https://www.rumah123.com/jual/surabaya/mulyorejo/tanah/</x:v>
      </x:c>
      <x:c r="N81" s="63" t="str">
        <x:v>PROKSI IKLAN</x:v>
      </x:c>
      <x:c r="O81" s="63" t="str">
        <x:v>Belum verifikasi transaksi, koordinat, hak, luas, dan duplikasi iklan.</x:v>
      </x:c>
      <x:c r="P81" s="64"/>
      <x:c r="Q81" s="64"/>
    </x:row>
    <x:row r="82">
      <x:c r="A82" s="63" t="str">
        <x:v>SBY-16-1</x:v>
      </x:c>
      <x:c r="B82" s="63" t="str">
        <x:v>Pabean Cantian</x:v>
      </x:c>
      <x:c r="C82" s="63" t="str">
        <x:v>ADM-Pabean Cantian</x:v>
      </x:c>
      <x:c r="D82" s="82" t="n">
        <x:v>46277</x:v>
      </x:c>
      <x:c r="E82" s="63" t="str">
        <x:v>Harga penawaran</x:v>
      </x:c>
      <x:c r="F82" s="83" t="n">
        <x:v>5760000</x:v>
      </x:c>
      <x:c r="G82" s="76" t="n">
        <x:f>Asumsi!$B$8</x:f>
        <x:v>0.1</x:v>
      </x:c>
      <x:c r="H82" s="84" t="n">
        <x:f>(D82-Asumsi!$B$6)/30.4375</x:f>
        <x:v>8.344969199178644</x:v>
      </x:c>
      <x:c r="I82" s="76" t="n">
        <x:f>Asumsi!$B$9</x:f>
        <x:v>0.05</x:v>
      </x:c>
      <x:c r="J82" s="76" t="n">
        <x:f>Asumsi!$B$10</x:f>
        <x:v>0</x:v>
      </x:c>
      <x:c r="K82" s="63" t="str">
        <x:f>IF(AND(F82&gt;=MEDIAN($F$82:$F$86)*Asumsi!$B$14,F82&lt;=MEDIAN($F$82:$F$86)*Asumsi!$B$15),"VALID","OUTLIER")</x:f>
        <x:v>VALID</x:v>
      </x:c>
      <x:c r="L82" s="85" t="n">
        <x:f>IF(COUNT(F82,G82,I82,J82)&lt;4,"",IF(K82="VALID",F82*(1-G82)/POWER(1+I82,H82/12)*(1+J82),""))</x:f>
        <x:v>5011060.608266146</x:v>
      </x:c>
      <x:c r="M82" s="63" t="str">
        <x:v>https://www.rumah123.com/jual/surabaya/pabean-cantikan/tanah/</x:v>
      </x:c>
      <x:c r="N82" s="63" t="str">
        <x:v>PROKSI IKLAN</x:v>
      </x:c>
      <x:c r="O82" s="63" t="str">
        <x:v>Belum verifikasi transaksi, koordinat, hak, luas, dan duplikasi iklan.</x:v>
      </x:c>
      <x:c r="P82" s="64"/>
      <x:c r="Q82" s="64"/>
    </x:row>
    <x:row r="83">
      <x:c r="A83" s="63" t="str">
        <x:v>SBY-16-2</x:v>
      </x:c>
      <x:c r="B83" s="63" t="str">
        <x:v>Pabean Cantian</x:v>
      </x:c>
      <x:c r="C83" s="63" t="str">
        <x:v>ADM-Pabean Cantian</x:v>
      </x:c>
      <x:c r="D83" s="82" t="n">
        <x:v>46277</x:v>
      </x:c>
      <x:c r="E83" s="63" t="str">
        <x:v>Harga penawaran</x:v>
      </x:c>
      <x:c r="F83" s="83" t="n">
        <x:v>24500000</x:v>
      </x:c>
      <x:c r="G83" s="76" t="n">
        <x:f>Asumsi!$B$8</x:f>
        <x:v>0.1</x:v>
      </x:c>
      <x:c r="H83" s="84" t="n">
        <x:f>(D83-Asumsi!$B$6)/30.4375</x:f>
        <x:v>8.344969199178644</x:v>
      </x:c>
      <x:c r="I83" s="76" t="n">
        <x:f>Asumsi!$B$9</x:f>
        <x:v>0.05</x:v>
      </x:c>
      <x:c r="J83" s="76" t="n">
        <x:f>Asumsi!$B$10</x:f>
        <x:v>0</x:v>
      </x:c>
      <x:c r="K83" s="63" t="str">
        <x:f>IF(AND(F83&gt;=MEDIAN($F$82:$F$86)*Asumsi!$B$14,F83&lt;=MEDIAN($F$82:$F$86)*Asumsi!$B$15),"VALID","OUTLIER")</x:f>
        <x:v>OUTLIER</x:v>
      </x:c>
      <x:c r="L83" s="85" t="str">
        <x:f>IF(COUNT(F83,G83,I83,J83)&lt;4,"",IF(K83="VALID",F83*(1-G83)/POWER(1+I83,H83/12)*(1+J83),""))</x:f>
      </x:c>
      <x:c r="M83" s="63" t="str">
        <x:v>https://www.rumah123.com/jual/surabaya/pabean-cantikan/tanah/</x:v>
      </x:c>
      <x:c r="N83" s="63" t="str">
        <x:v>PROKSI IKLAN</x:v>
      </x:c>
      <x:c r="O83" s="63" t="str">
        <x:v>Belum verifikasi transaksi, koordinat, hak, luas, dan duplikasi iklan.</x:v>
      </x:c>
      <x:c r="P83" s="64"/>
      <x:c r="Q83" s="64"/>
    </x:row>
    <x:row r="84">
      <x:c r="A84" s="63" t="str">
        <x:v>SBY-16-3</x:v>
      </x:c>
      <x:c r="B84" s="63" t="str">
        <x:v>Pabean Cantian</x:v>
      </x:c>
      <x:c r="C84" s="63" t="str">
        <x:v>ADM-Pabean Cantian</x:v>
      </x:c>
      <x:c r="D84" s="82" t="n">
        <x:v>46277</x:v>
      </x:c>
      <x:c r="E84" s="63" t="str">
        <x:v>Harga penawaran</x:v>
      </x:c>
      <x:c r="F84" s="83" t="n">
        <x:v>5230000</x:v>
      </x:c>
      <x:c r="G84" s="76" t="n">
        <x:f>Asumsi!$B$8</x:f>
        <x:v>0.1</x:v>
      </x:c>
      <x:c r="H84" s="84" t="n">
        <x:f>(D84-Asumsi!$B$6)/30.4375</x:f>
        <x:v>8.344969199178644</x:v>
      </x:c>
      <x:c r="I84" s="76" t="n">
        <x:f>Asumsi!$B$9</x:f>
        <x:v>0.05</x:v>
      </x:c>
      <x:c r="J84" s="76" t="n">
        <x:f>Asumsi!$B$10</x:f>
        <x:v>0</x:v>
      </x:c>
      <x:c r="K84" s="63" t="str">
        <x:f>IF(AND(F84&gt;=MEDIAN($F$82:$F$86)*Asumsi!$B$14,F84&lt;=MEDIAN($F$82:$F$86)*Asumsi!$B$15),"VALID","OUTLIER")</x:f>
        <x:v>VALID</x:v>
      </x:c>
      <x:c r="L84" s="85" t="n">
        <x:f>IF(COUNT(F84,G84,I84,J84)&lt;4,"",IF(K84="VALID",F84*(1-G84)/POWER(1+I84,H84/12)*(1+J84),""))</x:f>
        <x:v>4549973.434241656</x:v>
      </x:c>
      <x:c r="M84" s="63" t="str">
        <x:v>https://www.rumah123.com/jual/surabaya/pabean-cantikan/tanah/</x:v>
      </x:c>
      <x:c r="N84" s="63" t="str">
        <x:v>PROKSI IKLAN</x:v>
      </x:c>
      <x:c r="O84" s="63" t="str">
        <x:v>Belum verifikasi transaksi, koordinat, hak, luas, dan duplikasi iklan.</x:v>
      </x:c>
      <x:c r="P84" s="64"/>
      <x:c r="Q84" s="64"/>
    </x:row>
    <x:row r="85">
      <x:c r="A85" s="63" t="str">
        <x:v>SBY-16-4</x:v>
      </x:c>
      <x:c r="B85" s="63" t="str">
        <x:v>Pabean Cantian</x:v>
      </x:c>
      <x:c r="C85" s="63" t="str">
        <x:v>ADM-Pabean Cantian</x:v>
      </x:c>
      <x:c r="D85" s="82" t="n">
        <x:v>46277</x:v>
      </x:c>
      <x:c r="E85" s="63" t="str">
        <x:v>Harga penawaran</x:v>
      </x:c>
      <x:c r="F85" s="83" t="n">
        <x:v>16000000</x:v>
      </x:c>
      <x:c r="G85" s="76" t="n">
        <x:f>Asumsi!$B$8</x:f>
        <x:v>0.1</x:v>
      </x:c>
      <x:c r="H85" s="84" t="n">
        <x:f>(D85-Asumsi!$B$6)/30.4375</x:f>
        <x:v>8.344969199178644</x:v>
      </x:c>
      <x:c r="I85" s="76" t="n">
        <x:f>Asumsi!$B$9</x:f>
        <x:v>0.05</x:v>
      </x:c>
      <x:c r="J85" s="76" t="n">
        <x:f>Asumsi!$B$10</x:f>
        <x:v>0</x:v>
      </x:c>
      <x:c r="K85" s="63" t="str">
        <x:f>IF(AND(F85&gt;=MEDIAN($F$82:$F$86)*Asumsi!$B$14,F85&lt;=MEDIAN($F$82:$F$86)*Asumsi!$B$15),"VALID","OUTLIER")</x:f>
        <x:v>OUTLIER</x:v>
      </x:c>
      <x:c r="L85" s="85" t="str">
        <x:f>IF(COUNT(F85,G85,I85,J85)&lt;4,"",IF(K85="VALID",F85*(1-G85)/POWER(1+I85,H85/12)*(1+J85),""))</x:f>
      </x:c>
      <x:c r="M85" s="63" t="str">
        <x:v>https://www.rumah123.com/jual/surabaya/pabean-cantikan/tanah/</x:v>
      </x:c>
      <x:c r="N85" s="63" t="str">
        <x:v>PROKSI IKLAN</x:v>
      </x:c>
      <x:c r="O85" s="63" t="str">
        <x:v>Belum verifikasi transaksi, koordinat, hak, luas, dan duplikasi iklan.</x:v>
      </x:c>
      <x:c r="P85" s="64"/>
      <x:c r="Q85" s="64"/>
    </x:row>
    <x:row r="86">
      <x:c r="A86" s="63" t="str">
        <x:v>SBY-16-5</x:v>
      </x:c>
      <x:c r="B86" s="63" t="str">
        <x:v>Pabean Cantian</x:v>
      </x:c>
      <x:c r="C86" s="63" t="str">
        <x:v>ADM-Pabean Cantian</x:v>
      </x:c>
      <x:c r="D86" s="82" t="n">
        <x:v>46277</x:v>
      </x:c>
      <x:c r="E86" s="63" t="str">
        <x:v>Harga penawaran</x:v>
      </x:c>
      <x:c r="F86" s="83" t="n">
        <x:v>6000000</x:v>
      </x:c>
      <x:c r="G86" s="76" t="n">
        <x:f>Asumsi!$B$8</x:f>
        <x:v>0.1</x:v>
      </x:c>
      <x:c r="H86" s="84" t="n">
        <x:f>(D86-Asumsi!$B$6)/30.4375</x:f>
        <x:v>8.344969199178644</x:v>
      </x:c>
      <x:c r="I86" s="76" t="n">
        <x:f>Asumsi!$B$9</x:f>
        <x:v>0.05</x:v>
      </x:c>
      <x:c r="J86" s="76" t="n">
        <x:f>Asumsi!$B$10</x:f>
        <x:v>0</x:v>
      </x:c>
      <x:c r="K86" s="63" t="str">
        <x:f>IF(AND(F86&gt;=MEDIAN($F$82:$F$86)*Asumsi!$B$14,F86&lt;=MEDIAN($F$82:$F$86)*Asumsi!$B$15),"VALID","OUTLIER")</x:f>
        <x:v>VALID</x:v>
      </x:c>
      <x:c r="L86" s="85" t="n">
        <x:f>IF(COUNT(F86,G86,I86,J86)&lt;4,"",IF(K86="VALID",F86*(1-G86)/POWER(1+I86,H86/12)*(1+J86),""))</x:f>
        <x:v>5219854.800277235</x:v>
      </x:c>
      <x:c r="M86" s="63" t="str">
        <x:v>https://www.rumah123.com/jual/surabaya/pabean-cantikan/tanah/</x:v>
      </x:c>
      <x:c r="N86" s="63" t="str">
        <x:v>PROKSI IKLAN</x:v>
      </x:c>
      <x:c r="O86" s="63" t="str">
        <x:v>Belum verifikasi transaksi, koordinat, hak, luas, dan duplikasi iklan.</x:v>
      </x:c>
      <x:c r="P86" s="64"/>
      <x:c r="Q86" s="64"/>
    </x:row>
    <x:row r="87">
      <x:c r="A87" s="63" t="str">
        <x:v>SBY-17-1</x:v>
      </x:c>
      <x:c r="B87" s="63" t="str">
        <x:v>Pakal</x:v>
      </x:c>
      <x:c r="C87" s="63" t="str">
        <x:v>ADM-Pakal</x:v>
      </x:c>
      <x:c r="D87" s="82" t="n">
        <x:v>46277</x:v>
      </x:c>
      <x:c r="E87" s="63" t="str">
        <x:v>Harga penawaran</x:v>
      </x:c>
      <x:c r="F87" s="83" t="n">
        <x:v>8000000</x:v>
      </x:c>
      <x:c r="G87" s="76" t="n">
        <x:f>Asumsi!$B$8</x:f>
        <x:v>0.1</x:v>
      </x:c>
      <x:c r="H87" s="84" t="n">
        <x:f>(D87-Asumsi!$B$6)/30.4375</x:f>
        <x:v>8.344969199178644</x:v>
      </x:c>
      <x:c r="I87" s="76" t="n">
        <x:f>Asumsi!$B$9</x:f>
        <x:v>0.05</x:v>
      </x:c>
      <x:c r="J87" s="76" t="n">
        <x:f>Asumsi!$B$10</x:f>
        <x:v>0</x:v>
      </x:c>
      <x:c r="K87" s="63" t="str">
        <x:f>IF(AND(F87&gt;=MEDIAN($F$87:$F$91)*Asumsi!$B$14,F87&lt;=MEDIAN($F$87:$F$91)*Asumsi!$B$15),"VALID","OUTLIER")</x:f>
        <x:v>VALID</x:v>
      </x:c>
      <x:c r="L87" s="85" t="n">
        <x:f>IF(COUNT(F87,G87,I87,J87)&lt;4,"",IF(K87="VALID",F87*(1-G87)/POWER(1+I87,H87/12)*(1+J87),""))</x:f>
        <x:v>6959806.400369647</x:v>
      </x:c>
      <x:c r="M87" s="63" t="str">
        <x:v>https://www.rumah123.com/jual/surabaya/pakal/tanah/</x:v>
      </x:c>
      <x:c r="N87" s="63" t="str">
        <x:v>PROKSI IKLAN</x:v>
      </x:c>
      <x:c r="O87" s="63" t="str">
        <x:v>Belum verifikasi transaksi, koordinat, hak, luas, dan duplikasi iklan.</x:v>
      </x:c>
      <x:c r="P87" s="64"/>
      <x:c r="Q87" s="64"/>
    </x:row>
    <x:row r="88">
      <x:c r="A88" s="63" t="str">
        <x:v>SBY-17-2</x:v>
      </x:c>
      <x:c r="B88" s="63" t="str">
        <x:v>Pakal</x:v>
      </x:c>
      <x:c r="C88" s="63" t="str">
        <x:v>ADM-Pakal</x:v>
      </x:c>
      <x:c r="D88" s="82" t="n">
        <x:v>46277</x:v>
      </x:c>
      <x:c r="E88" s="63" t="str">
        <x:v>Harga penawaran</x:v>
      </x:c>
      <x:c r="F88" s="83" t="n">
        <x:v>5700000</x:v>
      </x:c>
      <x:c r="G88" s="76" t="n">
        <x:f>Asumsi!$B$8</x:f>
        <x:v>0.1</x:v>
      </x:c>
      <x:c r="H88" s="84" t="n">
        <x:f>(D88-Asumsi!$B$6)/30.4375</x:f>
        <x:v>8.344969199178644</x:v>
      </x:c>
      <x:c r="I88" s="76" t="n">
        <x:f>Asumsi!$B$9</x:f>
        <x:v>0.05</x:v>
      </x:c>
      <x:c r="J88" s="76" t="n">
        <x:f>Asumsi!$B$10</x:f>
        <x:v>0</x:v>
      </x:c>
      <x:c r="K88" s="63" t="str">
        <x:f>IF(AND(F88&gt;=MEDIAN($F$87:$F$91)*Asumsi!$B$14,F88&lt;=MEDIAN($F$87:$F$91)*Asumsi!$B$15),"VALID","OUTLIER")</x:f>
        <x:v>VALID</x:v>
      </x:c>
      <x:c r="L88" s="85" t="n">
        <x:f>IF(COUNT(F88,G88,I88,J88)&lt;4,"",IF(K88="VALID",F88*(1-G88)/POWER(1+I88,H88/12)*(1+J88),""))</x:f>
        <x:v>4958862.060263373</x:v>
      </x:c>
      <x:c r="M88" s="63" t="str">
        <x:v>https://www.rumah123.com/jual/surabaya/pakal/tanah/</x:v>
      </x:c>
      <x:c r="N88" s="63" t="str">
        <x:v>PROKSI IKLAN</x:v>
      </x:c>
      <x:c r="O88" s="63" t="str">
        <x:v>Belum verifikasi transaksi, koordinat, hak, luas, dan duplikasi iklan.</x:v>
      </x:c>
      <x:c r="P88" s="64"/>
      <x:c r="Q88" s="64"/>
    </x:row>
    <x:row r="89">
      <x:c r="A89" s="63" t="str">
        <x:v>SBY-17-3</x:v>
      </x:c>
      <x:c r="B89" s="63" t="str">
        <x:v>Pakal</x:v>
      </x:c>
      <x:c r="C89" s="63" t="str">
        <x:v>ADM-Pakal</x:v>
      </x:c>
      <x:c r="D89" s="82" t="n">
        <x:v>46277</x:v>
      </x:c>
      <x:c r="E89" s="63" t="str">
        <x:v>Harga penawaran</x:v>
      </x:c>
      <x:c r="F89" s="83" t="n">
        <x:v>2080000</x:v>
      </x:c>
      <x:c r="G89" s="76" t="n">
        <x:f>Asumsi!$B$8</x:f>
        <x:v>0.1</x:v>
      </x:c>
      <x:c r="H89" s="84" t="n">
        <x:f>(D89-Asumsi!$B$6)/30.4375</x:f>
        <x:v>8.344969199178644</x:v>
      </x:c>
      <x:c r="I89" s="76" t="n">
        <x:f>Asumsi!$B$9</x:f>
        <x:v>0.05</x:v>
      </x:c>
      <x:c r="J89" s="76" t="n">
        <x:f>Asumsi!$B$10</x:f>
        <x:v>0</x:v>
      </x:c>
      <x:c r="K89" s="63" t="str">
        <x:f>IF(AND(F89&gt;=MEDIAN($F$87:$F$91)*Asumsi!$B$14,F89&lt;=MEDIAN($F$87:$F$91)*Asumsi!$B$15),"VALID","OUTLIER")</x:f>
        <x:v>OUTLIER</x:v>
      </x:c>
      <x:c r="L89" s="85" t="str">
        <x:f>IF(COUNT(F89,G89,I89,J89)&lt;4,"",IF(K89="VALID",F89*(1-G89)/POWER(1+I89,H89/12)*(1+J89),""))</x:f>
      </x:c>
      <x:c r="M89" s="63" t="str">
        <x:v>https://www.rumah123.com/jual/surabaya/pakal/tanah/</x:v>
      </x:c>
      <x:c r="N89" s="63" t="str">
        <x:v>PROKSI IKLAN</x:v>
      </x:c>
      <x:c r="O89" s="63" t="str">
        <x:v>Belum verifikasi transaksi, koordinat, hak, luas, dan duplikasi iklan.</x:v>
      </x:c>
      <x:c r="P89" s="64"/>
      <x:c r="Q89" s="64"/>
    </x:row>
    <x:row r="90">
      <x:c r="A90" s="63" t="str">
        <x:v>SBY-17-4</x:v>
      </x:c>
      <x:c r="B90" s="63" t="str">
        <x:v>Pakal</x:v>
      </x:c>
      <x:c r="C90" s="63" t="str">
        <x:v>ADM-Pakal</x:v>
      </x:c>
      <x:c r="D90" s="82" t="n">
        <x:v>46277</x:v>
      </x:c>
      <x:c r="E90" s="63" t="str">
        <x:v>Harga penawaran</x:v>
      </x:c>
      <x:c r="F90" s="83" t="n">
        <x:v>9500000</x:v>
      </x:c>
      <x:c r="G90" s="76" t="n">
        <x:f>Asumsi!$B$8</x:f>
        <x:v>0.1</x:v>
      </x:c>
      <x:c r="H90" s="84" t="n">
        <x:f>(D90-Asumsi!$B$6)/30.4375</x:f>
        <x:v>8.344969199178644</x:v>
      </x:c>
      <x:c r="I90" s="76" t="n">
        <x:f>Asumsi!$B$9</x:f>
        <x:v>0.05</x:v>
      </x:c>
      <x:c r="J90" s="76" t="n">
        <x:f>Asumsi!$B$10</x:f>
        <x:v>0</x:v>
      </x:c>
      <x:c r="K90" s="63" t="str">
        <x:f>IF(AND(F90&gt;=MEDIAN($F$87:$F$91)*Asumsi!$B$14,F90&lt;=MEDIAN($F$87:$F$91)*Asumsi!$B$15),"VALID","OUTLIER")</x:f>
        <x:v>VALID</x:v>
      </x:c>
      <x:c r="L90" s="85" t="n">
        <x:f>IF(COUNT(F90,G90,I90,J90)&lt;4,"",IF(K90="VALID",F90*(1-G90)/POWER(1+I90,H90/12)*(1+J90),""))</x:f>
        <x:v>8264770.100438955</x:v>
      </x:c>
      <x:c r="M90" s="63" t="str">
        <x:v>https://www.rumah123.com/jual/surabaya/pakal/tanah/</x:v>
      </x:c>
      <x:c r="N90" s="63" t="str">
        <x:v>PROKSI IKLAN</x:v>
      </x:c>
      <x:c r="O90" s="63" t="str">
        <x:v>Belum verifikasi transaksi, koordinat, hak, luas, dan duplikasi iklan.</x:v>
      </x:c>
      <x:c r="P90" s="64"/>
      <x:c r="Q90" s="64"/>
    </x:row>
    <x:row r="91">
      <x:c r="A91" s="63" t="str">
        <x:v>SBY-17-5</x:v>
      </x:c>
      <x:c r="B91" s="63" t="str">
        <x:v>Pakal</x:v>
      </x:c>
      <x:c r="C91" s="63" t="str">
        <x:v>ADM-Pakal</x:v>
      </x:c>
      <x:c r="D91" s="82" t="n">
        <x:v>46277</x:v>
      </x:c>
      <x:c r="E91" s="63" t="str">
        <x:v>Harga penawaran</x:v>
      </x:c>
      <x:c r="F91" s="83" t="n">
        <x:v>9500000</x:v>
      </x:c>
      <x:c r="G91" s="76" t="n">
        <x:f>Asumsi!$B$8</x:f>
        <x:v>0.1</x:v>
      </x:c>
      <x:c r="H91" s="84" t="n">
        <x:f>(D91-Asumsi!$B$6)/30.4375</x:f>
        <x:v>8.344969199178644</x:v>
      </x:c>
      <x:c r="I91" s="76" t="n">
        <x:f>Asumsi!$B$9</x:f>
        <x:v>0.05</x:v>
      </x:c>
      <x:c r="J91" s="76" t="n">
        <x:f>Asumsi!$B$10</x:f>
        <x:v>0</x:v>
      </x:c>
      <x:c r="K91" s="63" t="str">
        <x:f>IF(AND(F91&gt;=MEDIAN($F$87:$F$91)*Asumsi!$B$14,F91&lt;=MEDIAN($F$87:$F$91)*Asumsi!$B$15),"VALID","OUTLIER")</x:f>
        <x:v>VALID</x:v>
      </x:c>
      <x:c r="L91" s="85" t="n">
        <x:f>IF(COUNT(F91,G91,I91,J91)&lt;4,"",IF(K91="VALID",F91*(1-G91)/POWER(1+I91,H91/12)*(1+J91),""))</x:f>
        <x:v>8264770.100438955</x:v>
      </x:c>
      <x:c r="M91" s="63" t="str">
        <x:v>https://www.rumah123.com/jual/surabaya/pakal/tanah/</x:v>
      </x:c>
      <x:c r="N91" s="63" t="str">
        <x:v>PROKSI IKLAN</x:v>
      </x:c>
      <x:c r="O91" s="63" t="str">
        <x:v>Belum verifikasi transaksi, koordinat, hak, luas, dan duplikasi iklan.</x:v>
      </x:c>
      <x:c r="P91" s="64"/>
      <x:c r="Q91" s="64"/>
    </x:row>
    <x:row r="92">
      <x:c r="A92" s="63" t="str">
        <x:v>SBY-18-1</x:v>
      </x:c>
      <x:c r="B92" s="63" t="str">
        <x:v>Rungkut</x:v>
      </x:c>
      <x:c r="C92" s="63" t="str">
        <x:v>ADM-Rungkut</x:v>
      </x:c>
      <x:c r="D92" s="82" t="n">
        <x:v>46277</x:v>
      </x:c>
      <x:c r="E92" s="63" t="str">
        <x:v>Harga penawaran</x:v>
      </x:c>
      <x:c r="F92" s="83" t="n">
        <x:v>16000000</x:v>
      </x:c>
      <x:c r="G92" s="76" t="n">
        <x:f>Asumsi!$B$8</x:f>
        <x:v>0.1</x:v>
      </x:c>
      <x:c r="H92" s="84" t="n">
        <x:f>(D92-Asumsi!$B$6)/30.4375</x:f>
        <x:v>8.344969199178644</x:v>
      </x:c>
      <x:c r="I92" s="76" t="n">
        <x:f>Asumsi!$B$9</x:f>
        <x:v>0.05</x:v>
      </x:c>
      <x:c r="J92" s="76" t="n">
        <x:f>Asumsi!$B$10</x:f>
        <x:v>0</x:v>
      </x:c>
      <x:c r="K92" s="63" t="str">
        <x:f>IF(AND(F92&gt;=MEDIAN($F$92:$F$96)*Asumsi!$B$14,F92&lt;=MEDIAN($F$92:$F$96)*Asumsi!$B$15),"VALID","OUTLIER")</x:f>
        <x:v>VALID</x:v>
      </x:c>
      <x:c r="L92" s="85" t="n">
        <x:f>IF(COUNT(F92,G92,I92,J92)&lt;4,"",IF(K92="VALID",F92*(1-G92)/POWER(1+I92,H92/12)*(1+J92),""))</x:f>
        <x:v>13919612.800739294</x:v>
      </x:c>
      <x:c r="M92" s="63" t="str">
        <x:v>https://www.rumah123.com/jual/surabaya/rungkut/tanah/</x:v>
      </x:c>
      <x:c r="N92" s="63" t="str">
        <x:v>PROKSI IKLAN</x:v>
      </x:c>
      <x:c r="O92" s="63" t="str">
        <x:v>Belum verifikasi transaksi, koordinat, hak, luas, dan duplikasi iklan.</x:v>
      </x:c>
      <x:c r="P92" s="64"/>
      <x:c r="Q92" s="64"/>
    </x:row>
    <x:row r="93">
      <x:c r="A93" s="63" t="str">
        <x:v>SBY-18-2</x:v>
      </x:c>
      <x:c r="B93" s="63" t="str">
        <x:v>Rungkut</x:v>
      </x:c>
      <x:c r="C93" s="63" t="str">
        <x:v>ADM-Rungkut</x:v>
      </x:c>
      <x:c r="D93" s="82" t="n">
        <x:v>46277</x:v>
      </x:c>
      <x:c r="E93" s="63" t="str">
        <x:v>Harga penawaran</x:v>
      </x:c>
      <x:c r="F93" s="83" t="n">
        <x:v>19200000</x:v>
      </x:c>
      <x:c r="G93" s="76" t="n">
        <x:f>Asumsi!$B$8</x:f>
        <x:v>0.1</x:v>
      </x:c>
      <x:c r="H93" s="84" t="n">
        <x:f>(D93-Asumsi!$B$6)/30.4375</x:f>
        <x:v>8.344969199178644</x:v>
      </x:c>
      <x:c r="I93" s="76" t="n">
        <x:f>Asumsi!$B$9</x:f>
        <x:v>0.05</x:v>
      </x:c>
      <x:c r="J93" s="76" t="n">
        <x:f>Asumsi!$B$10</x:f>
        <x:v>0</x:v>
      </x:c>
      <x:c r="K93" s="63" t="str">
        <x:f>IF(AND(F93&gt;=MEDIAN($F$92:$F$96)*Asumsi!$B$14,F93&lt;=MEDIAN($F$92:$F$96)*Asumsi!$B$15),"VALID","OUTLIER")</x:f>
        <x:v>VALID</x:v>
      </x:c>
      <x:c r="L93" s="85" t="n">
        <x:f>IF(COUNT(F93,G93,I93,J93)&lt;4,"",IF(K93="VALID",F93*(1-G93)/POWER(1+I93,H93/12)*(1+J93),""))</x:f>
        <x:v>16703535.360887151</x:v>
      </x:c>
      <x:c r="M93" s="63" t="str">
        <x:v>https://www.rumah123.com/jual/surabaya/rungkut/tanah/</x:v>
      </x:c>
      <x:c r="N93" s="63" t="str">
        <x:v>PROKSI IKLAN</x:v>
      </x:c>
      <x:c r="O93" s="63" t="str">
        <x:v>Belum verifikasi transaksi, koordinat, hak, luas, dan duplikasi iklan.</x:v>
      </x:c>
      <x:c r="P93" s="64"/>
      <x:c r="Q93" s="64"/>
    </x:row>
    <x:row r="94">
      <x:c r="A94" s="63" t="str">
        <x:v>SBY-18-3</x:v>
      </x:c>
      <x:c r="B94" s="63" t="str">
        <x:v>Rungkut</x:v>
      </x:c>
      <x:c r="C94" s="63" t="str">
        <x:v>ADM-Rungkut</x:v>
      </x:c>
      <x:c r="D94" s="82" t="n">
        <x:v>46277</x:v>
      </x:c>
      <x:c r="E94" s="63" t="str">
        <x:v>Harga penawaran</x:v>
      </x:c>
      <x:c r="F94" s="83" t="n">
        <x:v>17500000</x:v>
      </x:c>
      <x:c r="G94" s="76" t="n">
        <x:f>Asumsi!$B$8</x:f>
        <x:v>0.1</x:v>
      </x:c>
      <x:c r="H94" s="84" t="n">
        <x:f>(D94-Asumsi!$B$6)/30.4375</x:f>
        <x:v>8.344969199178644</x:v>
      </x:c>
      <x:c r="I94" s="76" t="n">
        <x:f>Asumsi!$B$9</x:f>
        <x:v>0.05</x:v>
      </x:c>
      <x:c r="J94" s="76" t="n">
        <x:f>Asumsi!$B$10</x:f>
        <x:v>0</x:v>
      </x:c>
      <x:c r="K94" s="63" t="str">
        <x:f>IF(AND(F94&gt;=MEDIAN($F$92:$F$96)*Asumsi!$B$14,F94&lt;=MEDIAN($F$92:$F$96)*Asumsi!$B$15),"VALID","OUTLIER")</x:f>
        <x:v>VALID</x:v>
      </x:c>
      <x:c r="L94" s="85" t="n">
        <x:f>IF(COUNT(F94,G94,I94,J94)&lt;4,"",IF(K94="VALID",F94*(1-G94)/POWER(1+I94,H94/12)*(1+J94),""))</x:f>
        <x:v>15224576.500808602</x:v>
      </x:c>
      <x:c r="M94" s="63" t="str">
        <x:v>https://www.rumah123.com/jual/surabaya/rungkut/tanah/</x:v>
      </x:c>
      <x:c r="N94" s="63" t="str">
        <x:v>PROKSI IKLAN</x:v>
      </x:c>
      <x:c r="O94" s="63" t="str">
        <x:v>Belum verifikasi transaksi, koordinat, hak, luas, dan duplikasi iklan.</x:v>
      </x:c>
      <x:c r="P94" s="64"/>
      <x:c r="Q94" s="64"/>
    </x:row>
    <x:row r="95">
      <x:c r="A95" s="63" t="str">
        <x:v>SBY-18-4</x:v>
      </x:c>
      <x:c r="B95" s="63" t="str">
        <x:v>Rungkut</x:v>
      </x:c>
      <x:c r="C95" s="63" t="str">
        <x:v>ADM-Rungkut</x:v>
      </x:c>
      <x:c r="D95" s="82" t="n">
        <x:v>46277</x:v>
      </x:c>
      <x:c r="E95" s="63" t="str">
        <x:v>Harga penawaran</x:v>
      </x:c>
      <x:c r="F95" s="83" t="n">
        <x:v>7810000</x:v>
      </x:c>
      <x:c r="G95" s="76" t="n">
        <x:f>Asumsi!$B$8</x:f>
        <x:v>0.1</x:v>
      </x:c>
      <x:c r="H95" s="84" t="n">
        <x:f>(D95-Asumsi!$B$6)/30.4375</x:f>
        <x:v>8.344969199178644</x:v>
      </x:c>
      <x:c r="I95" s="76" t="n">
        <x:f>Asumsi!$B$9</x:f>
        <x:v>0.05</x:v>
      </x:c>
      <x:c r="J95" s="76" t="n">
        <x:f>Asumsi!$B$10</x:f>
        <x:v>0</x:v>
      </x:c>
      <x:c r="K95" s="63" t="str">
        <x:f>IF(AND(F95&gt;=MEDIAN($F$92:$F$96)*Asumsi!$B$14,F95&lt;=MEDIAN($F$92:$F$96)*Asumsi!$B$15),"VALID","OUTLIER")</x:f>
        <x:v>VALID</x:v>
      </x:c>
      <x:c r="L95" s="85" t="n">
        <x:f>IF(COUNT(F95,G95,I95,J95)&lt;4,"",IF(K95="VALID",F95*(1-G95)/POWER(1+I95,H95/12)*(1+J95),""))</x:f>
        <x:v>6794510.998360868</x:v>
      </x:c>
      <x:c r="M95" s="63" t="str">
        <x:v>https://www.rumah123.com/jual/surabaya/rungkut/tanah/</x:v>
      </x:c>
      <x:c r="N95" s="63" t="str">
        <x:v>PROKSI IKLAN</x:v>
      </x:c>
      <x:c r="O95" s="63" t="str">
        <x:v>Belum verifikasi transaksi, koordinat, hak, luas, dan duplikasi iklan.</x:v>
      </x:c>
      <x:c r="P95" s="64"/>
      <x:c r="Q95" s="64"/>
    </x:row>
    <x:row r="96">
      <x:c r="A96" s="63" t="str">
        <x:v>SBY-18-5</x:v>
      </x:c>
      <x:c r="B96" s="63" t="str">
        <x:v>Rungkut</x:v>
      </x:c>
      <x:c r="C96" s="63" t="str">
        <x:v>ADM-Rungkut</x:v>
      </x:c>
      <x:c r="D96" s="82" t="n">
        <x:v>46277</x:v>
      </x:c>
      <x:c r="E96" s="63" t="str">
        <x:v>Harga penawaran</x:v>
      </x:c>
      <x:c r="F96" s="83" t="n">
        <x:v>28000000</x:v>
      </x:c>
      <x:c r="G96" s="76" t="n">
        <x:f>Asumsi!$B$8</x:f>
        <x:v>0.1</x:v>
      </x:c>
      <x:c r="H96" s="84" t="n">
        <x:f>(D96-Asumsi!$B$6)/30.4375</x:f>
        <x:v>8.344969199178644</x:v>
      </x:c>
      <x:c r="I96" s="76" t="n">
        <x:f>Asumsi!$B$9</x:f>
        <x:v>0.05</x:v>
      </x:c>
      <x:c r="J96" s="76" t="n">
        <x:f>Asumsi!$B$10</x:f>
        <x:v>0</x:v>
      </x:c>
      <x:c r="K96" s="63" t="str">
        <x:f>IF(AND(F96&gt;=MEDIAN($F$92:$F$96)*Asumsi!$B$14,F96&lt;=MEDIAN($F$92:$F$96)*Asumsi!$B$15),"VALID","OUTLIER")</x:f>
        <x:v>VALID</x:v>
      </x:c>
      <x:c r="L96" s="85" t="n">
        <x:f>IF(COUNT(F96,G96,I96,J96)&lt;4,"",IF(K96="VALID",F96*(1-G96)/POWER(1+I96,H96/12)*(1+J96),""))</x:f>
        <x:v>24359322.401293762</x:v>
      </x:c>
      <x:c r="M96" s="63" t="str">
        <x:v>https://www.rumah123.com/jual/surabaya/rungkut/tanah/</x:v>
      </x:c>
      <x:c r="N96" s="63" t="str">
        <x:v>PROKSI IKLAN</x:v>
      </x:c>
      <x:c r="O96" s="63" t="str">
        <x:v>Belum verifikasi transaksi, koordinat, hak, luas, dan duplikasi iklan.</x:v>
      </x:c>
      <x:c r="P96" s="64"/>
      <x:c r="Q96" s="64"/>
    </x:row>
    <x:row r="97">
      <x:c r="A97" s="63" t="str">
        <x:v>SBY-19-1</x:v>
      </x:c>
      <x:c r="B97" s="63" t="str">
        <x:v>Sambikerep</x:v>
      </x:c>
      <x:c r="C97" s="63" t="str">
        <x:v>ADM-Sambikerep</x:v>
      </x:c>
      <x:c r="D97" s="82" t="n">
        <x:v>46277</x:v>
      </x:c>
      <x:c r="E97" s="63" t="str">
        <x:v>Harga penawaran</x:v>
      </x:c>
      <x:c r="F97" s="83" t="n">
        <x:v>23500000</x:v>
      </x:c>
      <x:c r="G97" s="76" t="n">
        <x:f>Asumsi!$B$8</x:f>
        <x:v>0.1</x:v>
      </x:c>
      <x:c r="H97" s="84" t="n">
        <x:f>(D97-Asumsi!$B$6)/30.4375</x:f>
        <x:v>8.344969199178644</x:v>
      </x:c>
      <x:c r="I97" s="76" t="n">
        <x:f>Asumsi!$B$9</x:f>
        <x:v>0.05</x:v>
      </x:c>
      <x:c r="J97" s="76" t="n">
        <x:f>Asumsi!$B$10</x:f>
        <x:v>0</x:v>
      </x:c>
      <x:c r="K97" s="63" t="str">
        <x:f>IF(AND(F97&gt;=MEDIAN($F$97:$F$101)*Asumsi!$B$14,F97&lt;=MEDIAN($F$97:$F$101)*Asumsi!$B$15),"VALID","OUTLIER")</x:f>
        <x:v>VALID</x:v>
      </x:c>
      <x:c r="L97" s="85" t="n">
        <x:f>IF(COUNT(F97,G97,I97,J97)&lt;4,"",IF(K97="VALID",F97*(1-G97)/POWER(1+I97,H97/12)*(1+J97),""))</x:f>
        <x:v>20444431.301085837</x:v>
      </x:c>
      <x:c r="M97" s="63" t="str">
        <x:v>https://www.rumah123.com/jual/surabaya/sambikerep/tanah/</x:v>
      </x:c>
      <x:c r="N97" s="63" t="str">
        <x:v>PROKSI IKLAN</x:v>
      </x:c>
      <x:c r="O97" s="63" t="str">
        <x:v>Belum verifikasi transaksi, koordinat, hak, luas, dan duplikasi iklan.</x:v>
      </x:c>
      <x:c r="P97" s="64"/>
      <x:c r="Q97" s="64"/>
    </x:row>
    <x:row r="98">
      <x:c r="A98" s="63" t="str">
        <x:v>SBY-19-2</x:v>
      </x:c>
      <x:c r="B98" s="63" t="str">
        <x:v>Sambikerep</x:v>
      </x:c>
      <x:c r="C98" s="63" t="str">
        <x:v>ADM-Sambikerep</x:v>
      </x:c>
      <x:c r="D98" s="82" t="n">
        <x:v>46277</x:v>
      </x:c>
      <x:c r="E98" s="63" t="str">
        <x:v>Harga penawaran</x:v>
      </x:c>
      <x:c r="F98" s="83" t="n">
        <x:v>15000000</x:v>
      </x:c>
      <x:c r="G98" s="76" t="n">
        <x:f>Asumsi!$B$8</x:f>
        <x:v>0.1</x:v>
      </x:c>
      <x:c r="H98" s="84" t="n">
        <x:f>(D98-Asumsi!$B$6)/30.4375</x:f>
        <x:v>8.344969199178644</x:v>
      </x:c>
      <x:c r="I98" s="76" t="n">
        <x:f>Asumsi!$B$9</x:f>
        <x:v>0.05</x:v>
      </x:c>
      <x:c r="J98" s="76" t="n">
        <x:f>Asumsi!$B$10</x:f>
        <x:v>0</x:v>
      </x:c>
      <x:c r="K98" s="63" t="str">
        <x:f>IF(AND(F98&gt;=MEDIAN($F$97:$F$101)*Asumsi!$B$14,F98&lt;=MEDIAN($F$97:$F$101)*Asumsi!$B$15),"VALID","OUTLIER")</x:f>
        <x:v>VALID</x:v>
      </x:c>
      <x:c r="L98" s="85" t="n">
        <x:f>IF(COUNT(F98,G98,I98,J98)&lt;4,"",IF(K98="VALID",F98*(1-G98)/POWER(1+I98,H98/12)*(1+J98),""))</x:f>
        <x:v>13049637.000693087</x:v>
      </x:c>
      <x:c r="M98" s="63" t="str">
        <x:v>https://www.rumah123.com/jual/surabaya/sambikerep/tanah/</x:v>
      </x:c>
      <x:c r="N98" s="63" t="str">
        <x:v>PROKSI IKLAN</x:v>
      </x:c>
      <x:c r="O98" s="63" t="str">
        <x:v>Belum verifikasi transaksi, koordinat, hak, luas, dan duplikasi iklan.</x:v>
      </x:c>
      <x:c r="P98" s="64"/>
      <x:c r="Q98" s="64"/>
    </x:row>
    <x:row r="99">
      <x:c r="A99" s="63" t="str">
        <x:v>SBY-19-3</x:v>
      </x:c>
      <x:c r="B99" s="63" t="str">
        <x:v>Sambikerep</x:v>
      </x:c>
      <x:c r="C99" s="63" t="str">
        <x:v>ADM-Sambikerep</x:v>
      </x:c>
      <x:c r="D99" s="82" t="n">
        <x:v>46277</x:v>
      </x:c>
      <x:c r="E99" s="63" t="str">
        <x:v>Harga penawaran</x:v>
      </x:c>
      <x:c r="F99" s="83" t="n">
        <x:v>16000000</x:v>
      </x:c>
      <x:c r="G99" s="76" t="n">
        <x:f>Asumsi!$B$8</x:f>
        <x:v>0.1</x:v>
      </x:c>
      <x:c r="H99" s="84" t="n">
        <x:f>(D99-Asumsi!$B$6)/30.4375</x:f>
        <x:v>8.344969199178644</x:v>
      </x:c>
      <x:c r="I99" s="76" t="n">
        <x:f>Asumsi!$B$9</x:f>
        <x:v>0.05</x:v>
      </x:c>
      <x:c r="J99" s="76" t="n">
        <x:f>Asumsi!$B$10</x:f>
        <x:v>0</x:v>
      </x:c>
      <x:c r="K99" s="63" t="str">
        <x:f>IF(AND(F99&gt;=MEDIAN($F$97:$F$101)*Asumsi!$B$14,F99&lt;=MEDIAN($F$97:$F$101)*Asumsi!$B$15),"VALID","OUTLIER")</x:f>
        <x:v>VALID</x:v>
      </x:c>
      <x:c r="L99" s="85" t="n">
        <x:f>IF(COUNT(F99,G99,I99,J99)&lt;4,"",IF(K99="VALID",F99*(1-G99)/POWER(1+I99,H99/12)*(1+J99),""))</x:f>
        <x:v>13919612.800739294</x:v>
      </x:c>
      <x:c r="M99" s="63" t="str">
        <x:v>https://www.rumah123.com/jual/surabaya/sambikerep/tanah/</x:v>
      </x:c>
      <x:c r="N99" s="63" t="str">
        <x:v>PROKSI IKLAN</x:v>
      </x:c>
      <x:c r="O99" s="63" t="str">
        <x:v>Belum verifikasi transaksi, koordinat, hak, luas, dan duplikasi iklan.</x:v>
      </x:c>
      <x:c r="P99" s="64"/>
      <x:c r="Q99" s="64"/>
    </x:row>
    <x:row r="100">
      <x:c r="A100" s="63" t="str">
        <x:v>SBY-19-4</x:v>
      </x:c>
      <x:c r="B100" s="63" t="str">
        <x:v>Sambikerep</x:v>
      </x:c>
      <x:c r="C100" s="63" t="str">
        <x:v>ADM-Sambikerep</x:v>
      </x:c>
      <x:c r="D100" s="82" t="n">
        <x:v>46277</x:v>
      </x:c>
      <x:c r="E100" s="63" t="str">
        <x:v>Harga penawaran</x:v>
      </x:c>
      <x:c r="F100" s="83" t="n">
        <x:v>14000000</x:v>
      </x:c>
      <x:c r="G100" s="76" t="n">
        <x:f>Asumsi!$B$8</x:f>
        <x:v>0.1</x:v>
      </x:c>
      <x:c r="H100" s="84" t="n">
        <x:f>(D100-Asumsi!$B$6)/30.4375</x:f>
        <x:v>8.344969199178644</x:v>
      </x:c>
      <x:c r="I100" s="76" t="n">
        <x:f>Asumsi!$B$9</x:f>
        <x:v>0.05</x:v>
      </x:c>
      <x:c r="J100" s="76" t="n">
        <x:f>Asumsi!$B$10</x:f>
        <x:v>0</x:v>
      </x:c>
      <x:c r="K100" s="63" t="str">
        <x:f>IF(AND(F100&gt;=MEDIAN($F$97:$F$101)*Asumsi!$B$14,F100&lt;=MEDIAN($F$97:$F$101)*Asumsi!$B$15),"VALID","OUTLIER")</x:f>
        <x:v>VALID</x:v>
      </x:c>
      <x:c r="L100" s="85" t="n">
        <x:f>IF(COUNT(F100,G100,I100,J100)&lt;4,"",IF(K100="VALID",F100*(1-G100)/POWER(1+I100,H100/12)*(1+J100),""))</x:f>
        <x:v>12179661.200646881</x:v>
      </x:c>
      <x:c r="M100" s="63" t="str">
        <x:v>https://www.rumah123.com/jual/surabaya/sambikerep/tanah/</x:v>
      </x:c>
      <x:c r="N100" s="63" t="str">
        <x:v>PROKSI IKLAN</x:v>
      </x:c>
      <x:c r="O100" s="63" t="str">
        <x:v>Belum verifikasi transaksi, koordinat, hak, luas, dan duplikasi iklan.</x:v>
      </x:c>
      <x:c r="P100" s="64"/>
      <x:c r="Q100" s="64"/>
    </x:row>
    <x:row r="101">
      <x:c r="A101" s="63" t="str">
        <x:v>SBY-19-5</x:v>
      </x:c>
      <x:c r="B101" s="63" t="str">
        <x:v>Sambikerep</x:v>
      </x:c>
      <x:c r="C101" s="63" t="str">
        <x:v>ADM-Sambikerep</x:v>
      </x:c>
      <x:c r="D101" s="82" t="n">
        <x:v>46277</x:v>
      </x:c>
      <x:c r="E101" s="63" t="str">
        <x:v>Harga penawaran</x:v>
      </x:c>
      <x:c r="F101" s="83" t="n">
        <x:v>15000000</x:v>
      </x:c>
      <x:c r="G101" s="76" t="n">
        <x:f>Asumsi!$B$8</x:f>
        <x:v>0.1</x:v>
      </x:c>
      <x:c r="H101" s="84" t="n">
        <x:f>(D101-Asumsi!$B$6)/30.4375</x:f>
        <x:v>8.344969199178644</x:v>
      </x:c>
      <x:c r="I101" s="76" t="n">
        <x:f>Asumsi!$B$9</x:f>
        <x:v>0.05</x:v>
      </x:c>
      <x:c r="J101" s="76" t="n">
        <x:f>Asumsi!$B$10</x:f>
        <x:v>0</x:v>
      </x:c>
      <x:c r="K101" s="63" t="str">
        <x:f>IF(AND(F101&gt;=MEDIAN($F$97:$F$101)*Asumsi!$B$14,F101&lt;=MEDIAN($F$97:$F$101)*Asumsi!$B$15),"VALID","OUTLIER")</x:f>
        <x:v>VALID</x:v>
      </x:c>
      <x:c r="L101" s="85" t="n">
        <x:f>IF(COUNT(F101,G101,I101,J101)&lt;4,"",IF(K101="VALID",F101*(1-G101)/POWER(1+I101,H101/12)*(1+J101),""))</x:f>
        <x:v>13049637.000693087</x:v>
      </x:c>
      <x:c r="M101" s="63" t="str">
        <x:v>https://www.rumah123.com/jual/surabaya/sambikerep/tanah/</x:v>
      </x:c>
      <x:c r="N101" s="63" t="str">
        <x:v>PROKSI IKLAN</x:v>
      </x:c>
      <x:c r="O101" s="63" t="str">
        <x:v>Belum verifikasi transaksi, koordinat, hak, luas, dan duplikasi iklan.</x:v>
      </x:c>
      <x:c r="P101" s="64"/>
      <x:c r="Q101" s="64"/>
    </x:row>
    <x:row r="102">
      <x:c r="A102" s="63" t="str">
        <x:v>SBY-20-1</x:v>
      </x:c>
      <x:c r="B102" s="63" t="str">
        <x:v>Sawahan</x:v>
      </x:c>
      <x:c r="C102" s="63" t="str">
        <x:v>ADM-Sawahan</x:v>
      </x:c>
      <x:c r="D102" s="82" t="n">
        <x:v>46277</x:v>
      </x:c>
      <x:c r="E102" s="63" t="str">
        <x:v>Harga penawaran</x:v>
      </x:c>
      <x:c r="F102" s="83" t="n">
        <x:v>18900000</x:v>
      </x:c>
      <x:c r="G102" s="76" t="n">
        <x:f>Asumsi!$B$8</x:f>
        <x:v>0.1</x:v>
      </x:c>
      <x:c r="H102" s="84" t="n">
        <x:f>(D102-Asumsi!$B$6)/30.4375</x:f>
        <x:v>8.344969199178644</x:v>
      </x:c>
      <x:c r="I102" s="76" t="n">
        <x:f>Asumsi!$B$9</x:f>
        <x:v>0.05</x:v>
      </x:c>
      <x:c r="J102" s="76" t="n">
        <x:f>Asumsi!$B$10</x:f>
        <x:v>0</x:v>
      </x:c>
      <x:c r="K102" s="63" t="str">
        <x:f>IF(AND(F102&gt;=MEDIAN($F$102:$F$106)*Asumsi!$B$14,F102&lt;=MEDIAN($F$102:$F$106)*Asumsi!$B$15),"VALID","OUTLIER")</x:f>
        <x:v>VALID</x:v>
      </x:c>
      <x:c r="L102" s="85" t="n">
        <x:f>IF(COUNT(F102,G102,I102,J102)&lt;4,"",IF(K102="VALID",F102*(1-G102)/POWER(1+I102,H102/12)*(1+J102),""))</x:f>
        <x:v>16442542.62087329</x:v>
      </x:c>
      <x:c r="M102" s="63" t="str">
        <x:v>https://www.rumah123.com/jual/surabaya/sawahan/tanah/</x:v>
      </x:c>
      <x:c r="N102" s="63" t="str">
        <x:v>PROKSI IKLAN</x:v>
      </x:c>
      <x:c r="O102" s="63" t="str">
        <x:v>Belum verifikasi transaksi, koordinat, hak, luas, dan duplikasi iklan.</x:v>
      </x:c>
      <x:c r="P102" s="64"/>
      <x:c r="Q102" s="64"/>
    </x:row>
    <x:row r="103">
      <x:c r="A103" s="63" t="str">
        <x:v>SBY-20-2</x:v>
      </x:c>
      <x:c r="B103" s="63" t="str">
        <x:v>Sawahan</x:v>
      </x:c>
      <x:c r="C103" s="63" t="str">
        <x:v>ADM-Sawahan</x:v>
      </x:c>
      <x:c r="D103" s="82" t="n">
        <x:v>46277</x:v>
      </x:c>
      <x:c r="E103" s="63" t="str">
        <x:v>Harga penawaran</x:v>
      </x:c>
      <x:c r="F103" s="83" t="n">
        <x:v>18900000</x:v>
      </x:c>
      <x:c r="G103" s="76" t="n">
        <x:f>Asumsi!$B$8</x:f>
        <x:v>0.1</x:v>
      </x:c>
      <x:c r="H103" s="84" t="n">
        <x:f>(D103-Asumsi!$B$6)/30.4375</x:f>
        <x:v>8.344969199178644</x:v>
      </x:c>
      <x:c r="I103" s="76" t="n">
        <x:f>Asumsi!$B$9</x:f>
        <x:v>0.05</x:v>
      </x:c>
      <x:c r="J103" s="76" t="n">
        <x:f>Asumsi!$B$10</x:f>
        <x:v>0</x:v>
      </x:c>
      <x:c r="K103" s="63" t="str">
        <x:f>IF(AND(F103&gt;=MEDIAN($F$102:$F$106)*Asumsi!$B$14,F103&lt;=MEDIAN($F$102:$F$106)*Asumsi!$B$15),"VALID","OUTLIER")</x:f>
        <x:v>VALID</x:v>
      </x:c>
      <x:c r="L103" s="85" t="n">
        <x:f>IF(COUNT(F103,G103,I103,J103)&lt;4,"",IF(K103="VALID",F103*(1-G103)/POWER(1+I103,H103/12)*(1+J103),""))</x:f>
        <x:v>16442542.62087329</x:v>
      </x:c>
      <x:c r="M103" s="63" t="str">
        <x:v>https://www.rumah123.com/jual/surabaya/sawahan/tanah/</x:v>
      </x:c>
      <x:c r="N103" s="63" t="str">
        <x:v>PROKSI IKLAN</x:v>
      </x:c>
      <x:c r="O103" s="63" t="str">
        <x:v>Belum verifikasi transaksi, koordinat, hak, luas, dan duplikasi iklan.</x:v>
      </x:c>
      <x:c r="P103" s="64"/>
      <x:c r="Q103" s="64"/>
    </x:row>
    <x:row r="104">
      <x:c r="A104" s="63" t="str">
        <x:v>SBY-20-3</x:v>
      </x:c>
      <x:c r="B104" s="63" t="str">
        <x:v>Sawahan</x:v>
      </x:c>
      <x:c r="C104" s="63" t="str">
        <x:v>ADM-Sawahan</x:v>
      </x:c>
      <x:c r="D104" s="82" t="n">
        <x:v>46277</x:v>
      </x:c>
      <x:c r="E104" s="63" t="str">
        <x:v>Harga penawaran</x:v>
      </x:c>
      <x:c r="F104" s="83" t="n">
        <x:v>8110000</x:v>
      </x:c>
      <x:c r="G104" s="76" t="n">
        <x:f>Asumsi!$B$8</x:f>
        <x:v>0.1</x:v>
      </x:c>
      <x:c r="H104" s="84" t="n">
        <x:f>(D104-Asumsi!$B$6)/30.4375</x:f>
        <x:v>8.344969199178644</x:v>
      </x:c>
      <x:c r="I104" s="76" t="n">
        <x:f>Asumsi!$B$9</x:f>
        <x:v>0.05</x:v>
      </x:c>
      <x:c r="J104" s="76" t="n">
        <x:f>Asumsi!$B$10</x:f>
        <x:v>0</x:v>
      </x:c>
      <x:c r="K104" s="63" t="str">
        <x:f>IF(AND(F104&gt;=MEDIAN($F$102:$F$106)*Asumsi!$B$14,F104&lt;=MEDIAN($F$102:$F$106)*Asumsi!$B$15),"VALID","OUTLIER")</x:f>
        <x:v>VALID</x:v>
      </x:c>
      <x:c r="L104" s="85" t="n">
        <x:f>IF(COUNT(F104,G104,I104,J104)&lt;4,"",IF(K104="VALID",F104*(1-G104)/POWER(1+I104,H104/12)*(1+J104),""))</x:f>
        <x:v>7055503.73837473</x:v>
      </x:c>
      <x:c r="M104" s="63" t="str">
        <x:v>https://www.rumah123.com/jual/surabaya/sawahan/tanah/</x:v>
      </x:c>
      <x:c r="N104" s="63" t="str">
        <x:v>PROKSI IKLAN</x:v>
      </x:c>
      <x:c r="O104" s="63" t="str">
        <x:v>Belum verifikasi transaksi, koordinat, hak, luas, dan duplikasi iklan.</x:v>
      </x:c>
      <x:c r="P104" s="64"/>
      <x:c r="Q104" s="64"/>
    </x:row>
    <x:row r="105">
      <x:c r="A105" s="63" t="str">
        <x:v>SBY-20-4</x:v>
      </x:c>
      <x:c r="B105" s="63" t="str">
        <x:v>Sawahan</x:v>
      </x:c>
      <x:c r="C105" s="63" t="str">
        <x:v>ADM-Sawahan</x:v>
      </x:c>
      <x:c r="D105" s="82" t="n">
        <x:v>46277</x:v>
      </x:c>
      <x:c r="E105" s="63" t="str">
        <x:v>Harga penawaran</x:v>
      </x:c>
      <x:c r="F105" s="83" t="n">
        <x:v>15300000</x:v>
      </x:c>
      <x:c r="G105" s="76" t="n">
        <x:f>Asumsi!$B$8</x:f>
        <x:v>0.1</x:v>
      </x:c>
      <x:c r="H105" s="84" t="n">
        <x:f>(D105-Asumsi!$B$6)/30.4375</x:f>
        <x:v>8.344969199178644</x:v>
      </x:c>
      <x:c r="I105" s="76" t="n">
        <x:f>Asumsi!$B$9</x:f>
        <x:v>0.05</x:v>
      </x:c>
      <x:c r="J105" s="76" t="n">
        <x:f>Asumsi!$B$10</x:f>
        <x:v>0</x:v>
      </x:c>
      <x:c r="K105" s="63" t="str">
        <x:f>IF(AND(F105&gt;=MEDIAN($F$102:$F$106)*Asumsi!$B$14,F105&lt;=MEDIAN($F$102:$F$106)*Asumsi!$B$15),"VALID","OUTLIER")</x:f>
        <x:v>VALID</x:v>
      </x:c>
      <x:c r="L105" s="85" t="n">
        <x:f>IF(COUNT(F105,G105,I105,J105)&lt;4,"",IF(K105="VALID",F105*(1-G105)/POWER(1+I105,H105/12)*(1+J105),""))</x:f>
        <x:v>13310629.740706949</x:v>
      </x:c>
      <x:c r="M105" s="63" t="str">
        <x:v>https://www.rumah123.com/jual/surabaya/sawahan/tanah/</x:v>
      </x:c>
      <x:c r="N105" s="63" t="str">
        <x:v>PROKSI IKLAN</x:v>
      </x:c>
      <x:c r="O105" s="63" t="str">
        <x:v>Belum verifikasi transaksi, koordinat, hak, luas, dan duplikasi iklan.</x:v>
      </x:c>
      <x:c r="P105" s="64"/>
      <x:c r="Q105" s="64"/>
    </x:row>
    <x:row r="106">
      <x:c r="A106" s="63" t="str">
        <x:v>SBY-20-5</x:v>
      </x:c>
      <x:c r="B106" s="63" t="str">
        <x:v>Sawahan</x:v>
      </x:c>
      <x:c r="C106" s="63" t="str">
        <x:v>ADM-Sawahan</x:v>
      </x:c>
      <x:c r="D106" s="82" t="n">
        <x:v>46277</x:v>
      </x:c>
      <x:c r="E106" s="63" t="str">
        <x:v>Harga penawaran</x:v>
      </x:c>
      <x:c r="F106" s="83" t="n">
        <x:v>18900000</x:v>
      </x:c>
      <x:c r="G106" s="76" t="n">
        <x:f>Asumsi!$B$8</x:f>
        <x:v>0.1</x:v>
      </x:c>
      <x:c r="H106" s="84" t="n">
        <x:f>(D106-Asumsi!$B$6)/30.4375</x:f>
        <x:v>8.344969199178644</x:v>
      </x:c>
      <x:c r="I106" s="76" t="n">
        <x:f>Asumsi!$B$9</x:f>
        <x:v>0.05</x:v>
      </x:c>
      <x:c r="J106" s="76" t="n">
        <x:f>Asumsi!$B$10</x:f>
        <x:v>0</x:v>
      </x:c>
      <x:c r="K106" s="63" t="str">
        <x:f>IF(AND(F106&gt;=MEDIAN($F$102:$F$106)*Asumsi!$B$14,F106&lt;=MEDIAN($F$102:$F$106)*Asumsi!$B$15),"VALID","OUTLIER")</x:f>
        <x:v>VALID</x:v>
      </x:c>
      <x:c r="L106" s="85" t="n">
        <x:f>IF(COUNT(F106,G106,I106,J106)&lt;4,"",IF(K106="VALID",F106*(1-G106)/POWER(1+I106,H106/12)*(1+J106),""))</x:f>
        <x:v>16442542.62087329</x:v>
      </x:c>
      <x:c r="M106" s="63" t="str">
        <x:v>https://www.rumah123.com/jual/surabaya/sawahan/tanah/</x:v>
      </x:c>
      <x:c r="N106" s="63" t="str">
        <x:v>PROKSI IKLAN</x:v>
      </x:c>
      <x:c r="O106" s="63" t="str">
        <x:v>Belum verifikasi transaksi, koordinat, hak, luas, dan duplikasi iklan.</x:v>
      </x:c>
      <x:c r="P106" s="64"/>
      <x:c r="Q106" s="64"/>
    </x:row>
    <x:row r="107">
      <x:c r="A107" s="63" t="str">
        <x:v>SBY-21-1</x:v>
      </x:c>
      <x:c r="B107" s="63" t="str">
        <x:v>Semampir</x:v>
      </x:c>
      <x:c r="C107" s="63" t="str">
        <x:v>ADM-Semampir</x:v>
      </x:c>
      <x:c r="D107" s="82" t="n">
        <x:v>46277</x:v>
      </x:c>
      <x:c r="E107" s="63" t="str">
        <x:v>Harga penawaran</x:v>
      </x:c>
      <x:c r="F107" s="83" t="n">
        <x:v>6200000</x:v>
      </x:c>
      <x:c r="G107" s="76" t="n">
        <x:f>Asumsi!$B$8</x:f>
        <x:v>0.1</x:v>
      </x:c>
      <x:c r="H107" s="84" t="n">
        <x:f>(D107-Asumsi!$B$6)/30.4375</x:f>
        <x:v>8.344969199178644</x:v>
      </x:c>
      <x:c r="I107" s="76" t="n">
        <x:f>Asumsi!$B$9</x:f>
        <x:v>0.05</x:v>
      </x:c>
      <x:c r="J107" s="76" t="n">
        <x:f>Asumsi!$B$10</x:f>
        <x:v>0</x:v>
      </x:c>
      <x:c r="K107" s="63" t="str">
        <x:f>IF(AND(F107&gt;=MEDIAN($F$107:$F$111)*Asumsi!$B$14,F107&lt;=MEDIAN($F$107:$F$111)*Asumsi!$B$15),"VALID","OUTLIER")</x:f>
        <x:v>VALID</x:v>
      </x:c>
      <x:c r="L107" s="85" t="n">
        <x:f>IF(COUNT(F107,G107,I107,J107)&lt;4,"",IF(K107="VALID",F107*(1-G107)/POWER(1+I107,H107/12)*(1+J107),""))</x:f>
        <x:v>5393849.960286476</x:v>
      </x:c>
      <x:c r="M107" s="63" t="str">
        <x:v>https://www.rumah123.com/jual/surabaya/semampir/tanah/</x:v>
      </x:c>
      <x:c r="N107" s="63" t="str">
        <x:v>PROKSI IKLAN</x:v>
      </x:c>
      <x:c r="O107" s="63" t="str">
        <x:v>Belum verifikasi transaksi, koordinat, hak, luas, dan duplikasi iklan.</x:v>
      </x:c>
      <x:c r="P107" s="64"/>
      <x:c r="Q107" s="64"/>
    </x:row>
    <x:row r="108">
      <x:c r="A108" s="63" t="str">
        <x:v>SBY-21-2</x:v>
      </x:c>
      <x:c r="B108" s="63" t="str">
        <x:v>Semampir</x:v>
      </x:c>
      <x:c r="C108" s="63" t="str">
        <x:v>ADM-Semampir</x:v>
      </x:c>
      <x:c r="D108" s="82" t="n">
        <x:v>46277</x:v>
      </x:c>
      <x:c r="E108" s="63" t="str">
        <x:v>Harga penawaran</x:v>
      </x:c>
      <x:c r="F108" s="83" t="n">
        <x:v>6660000</x:v>
      </x:c>
      <x:c r="G108" s="76" t="n">
        <x:f>Asumsi!$B$8</x:f>
        <x:v>0.1</x:v>
      </x:c>
      <x:c r="H108" s="84" t="n">
        <x:f>(D108-Asumsi!$B$6)/30.4375</x:f>
        <x:v>8.344969199178644</x:v>
      </x:c>
      <x:c r="I108" s="76" t="n">
        <x:f>Asumsi!$B$9</x:f>
        <x:v>0.05</x:v>
      </x:c>
      <x:c r="J108" s="76" t="n">
        <x:f>Asumsi!$B$10</x:f>
        <x:v>0</x:v>
      </x:c>
      <x:c r="K108" s="63" t="str">
        <x:f>IF(AND(F108&gt;=MEDIAN($F$107:$F$111)*Asumsi!$B$14,F108&lt;=MEDIAN($F$107:$F$111)*Asumsi!$B$15),"VALID","OUTLIER")</x:f>
        <x:v>VALID</x:v>
      </x:c>
      <x:c r="L108" s="85" t="n">
        <x:f>IF(COUNT(F108,G108,I108,J108)&lt;4,"",IF(K108="VALID",F108*(1-G108)/POWER(1+I108,H108/12)*(1+J108),""))</x:f>
        <x:v>5794038.828307731</x:v>
      </x:c>
      <x:c r="M108" s="63" t="str">
        <x:v>https://www.rumah123.com/jual/surabaya/semampir/tanah/</x:v>
      </x:c>
      <x:c r="N108" s="63" t="str">
        <x:v>PROKSI IKLAN</x:v>
      </x:c>
      <x:c r="O108" s="63" t="str">
        <x:v>Belum verifikasi transaksi, koordinat, hak, luas, dan duplikasi iklan.</x:v>
      </x:c>
      <x:c r="P108" s="64"/>
      <x:c r="Q108" s="64"/>
    </x:row>
    <x:row r="109">
      <x:c r="A109" s="63" t="str">
        <x:v>SBY-21-3</x:v>
      </x:c>
      <x:c r="B109" s="63" t="str">
        <x:v>Semampir</x:v>
      </x:c>
      <x:c r="C109" s="63" t="str">
        <x:v>ADM-Semampir</x:v>
      </x:c>
      <x:c r="D109" s="82" t="n">
        <x:v>46277</x:v>
      </x:c>
      <x:c r="E109" s="63" t="str">
        <x:v>Harga penawaran</x:v>
      </x:c>
      <x:c r="F109" s="83" t="n">
        <x:v>6660000</x:v>
      </x:c>
      <x:c r="G109" s="76" t="n">
        <x:f>Asumsi!$B$8</x:f>
        <x:v>0.1</x:v>
      </x:c>
      <x:c r="H109" s="84" t="n">
        <x:f>(D109-Asumsi!$B$6)/30.4375</x:f>
        <x:v>8.344969199178644</x:v>
      </x:c>
      <x:c r="I109" s="76" t="n">
        <x:f>Asumsi!$B$9</x:f>
        <x:v>0.05</x:v>
      </x:c>
      <x:c r="J109" s="76" t="n">
        <x:f>Asumsi!$B$10</x:f>
        <x:v>0</x:v>
      </x:c>
      <x:c r="K109" s="63" t="str">
        <x:f>IF(AND(F109&gt;=MEDIAN($F$107:$F$111)*Asumsi!$B$14,F109&lt;=MEDIAN($F$107:$F$111)*Asumsi!$B$15),"VALID","OUTLIER")</x:f>
        <x:v>VALID</x:v>
      </x:c>
      <x:c r="L109" s="85" t="n">
        <x:f>IF(COUNT(F109,G109,I109,J109)&lt;4,"",IF(K109="VALID",F109*(1-G109)/POWER(1+I109,H109/12)*(1+J109),""))</x:f>
        <x:v>5794038.828307731</x:v>
      </x:c>
      <x:c r="M109" s="63" t="str">
        <x:v>https://www.rumah123.com/jual/surabaya/semampir/tanah/</x:v>
      </x:c>
      <x:c r="N109" s="63" t="str">
        <x:v>PROKSI IKLAN</x:v>
      </x:c>
      <x:c r="O109" s="63" t="str">
        <x:v>Belum verifikasi transaksi, koordinat, hak, luas, dan duplikasi iklan.</x:v>
      </x:c>
      <x:c r="P109" s="64"/>
      <x:c r="Q109" s="64"/>
    </x:row>
    <x:row r="110">
      <x:c r="A110" s="63" t="str">
        <x:v>SBY-21-4</x:v>
      </x:c>
      <x:c r="B110" s="63" t="str">
        <x:v>Semampir</x:v>
      </x:c>
      <x:c r="C110" s="63" t="str">
        <x:v>ADM-Semampir</x:v>
      </x:c>
      <x:c r="D110" s="82" t="n">
        <x:v>46277</x:v>
      </x:c>
      <x:c r="E110" s="63" t="str">
        <x:v>Harga penawaran</x:v>
      </x:c>
      <x:c r="F110" s="83" t="n">
        <x:v>15000000</x:v>
      </x:c>
      <x:c r="G110" s="76" t="n">
        <x:f>Asumsi!$B$8</x:f>
        <x:v>0.1</x:v>
      </x:c>
      <x:c r="H110" s="84" t="n">
        <x:f>(D110-Asumsi!$B$6)/30.4375</x:f>
        <x:v>8.344969199178644</x:v>
      </x:c>
      <x:c r="I110" s="76" t="n">
        <x:f>Asumsi!$B$9</x:f>
        <x:v>0.05</x:v>
      </x:c>
      <x:c r="J110" s="76" t="n">
        <x:f>Asumsi!$B$10</x:f>
        <x:v>0</x:v>
      </x:c>
      <x:c r="K110" s="63" t="str">
        <x:f>IF(AND(F110&gt;=MEDIAN($F$107:$F$111)*Asumsi!$B$14,F110&lt;=MEDIAN($F$107:$F$111)*Asumsi!$B$15),"VALID","OUTLIER")</x:f>
        <x:v>VALID</x:v>
      </x:c>
      <x:c r="L110" s="85" t="n">
        <x:f>IF(COUNT(F110,G110,I110,J110)&lt;4,"",IF(K110="VALID",F110*(1-G110)/POWER(1+I110,H110/12)*(1+J110),""))</x:f>
        <x:v>13049637.000693087</x:v>
      </x:c>
      <x:c r="M110" s="63" t="str">
        <x:v>https://www.rumah123.com/jual/surabaya/semampir/tanah/</x:v>
      </x:c>
      <x:c r="N110" s="63" t="str">
        <x:v>PROKSI IKLAN</x:v>
      </x:c>
      <x:c r="O110" s="63" t="str">
        <x:v>Belum verifikasi transaksi, koordinat, hak, luas, dan duplikasi iklan.</x:v>
      </x:c>
      <x:c r="P110" s="64"/>
      <x:c r="Q110" s="64"/>
    </x:row>
    <x:row r="111">
      <x:c r="A111" s="63" t="str">
        <x:v>SBY-21-5</x:v>
      </x:c>
      <x:c r="B111" s="63" t="str">
        <x:v>Semampir</x:v>
      </x:c>
      <x:c r="C111" s="63" t="str">
        <x:v>ADM-Semampir</x:v>
      </x:c>
      <x:c r="D111" s="82" t="n">
        <x:v>46277</x:v>
      </x:c>
      <x:c r="E111" s="63" t="str">
        <x:v>Harga penawaran</x:v>
      </x:c>
      <x:c r="F111" s="83" t="n">
        <x:v>5250000</x:v>
      </x:c>
      <x:c r="G111" s="76" t="n">
        <x:f>Asumsi!$B$8</x:f>
        <x:v>0.1</x:v>
      </x:c>
      <x:c r="H111" s="84" t="n">
        <x:f>(D111-Asumsi!$B$6)/30.4375</x:f>
        <x:v>8.344969199178644</x:v>
      </x:c>
      <x:c r="I111" s="76" t="n">
        <x:f>Asumsi!$B$9</x:f>
        <x:v>0.05</x:v>
      </x:c>
      <x:c r="J111" s="76" t="n">
        <x:f>Asumsi!$B$10</x:f>
        <x:v>0</x:v>
      </x:c>
      <x:c r="K111" s="63" t="str">
        <x:f>IF(AND(F111&gt;=MEDIAN($F$107:$F$111)*Asumsi!$B$14,F111&lt;=MEDIAN($F$107:$F$111)*Asumsi!$B$15),"VALID","OUTLIER")</x:f>
        <x:v>VALID</x:v>
      </x:c>
      <x:c r="L111" s="85" t="n">
        <x:f>IF(COUNT(F111,G111,I111,J111)&lt;4,"",IF(K111="VALID",F111*(1-G111)/POWER(1+I111,H111/12)*(1+J111),""))</x:f>
        <x:v>4567372.950242581</x:v>
      </x:c>
      <x:c r="M111" s="63" t="str">
        <x:v>https://www.rumah123.com/jual/surabaya/semampir/tanah/</x:v>
      </x:c>
      <x:c r="N111" s="63" t="str">
        <x:v>PROKSI IKLAN</x:v>
      </x:c>
      <x:c r="O111" s="63" t="str">
        <x:v>Belum verifikasi transaksi, koordinat, hak, luas, dan duplikasi iklan.</x:v>
      </x:c>
      <x:c r="P111" s="64"/>
      <x:c r="Q111" s="64"/>
    </x:row>
    <x:row r="112">
      <x:c r="A112" s="63" t="str">
        <x:v>SBY-22-1</x:v>
      </x:c>
      <x:c r="B112" s="63" t="str">
        <x:v>Simokerto</x:v>
      </x:c>
      <x:c r="C112" s="63" t="str">
        <x:v>ADM-Simokerto</x:v>
      </x:c>
      <x:c r="D112" s="82" t="n">
        <x:v>46277</x:v>
      </x:c>
      <x:c r="E112" s="63" t="str">
        <x:v>Harga penawaran</x:v>
      </x:c>
      <x:c r="F112" s="83" t="n">
        <x:v>5270000</x:v>
      </x:c>
      <x:c r="G112" s="76" t="n">
        <x:f>Asumsi!$B$8</x:f>
        <x:v>0.1</x:v>
      </x:c>
      <x:c r="H112" s="84" t="n">
        <x:f>(D112-Asumsi!$B$6)/30.4375</x:f>
        <x:v>8.344969199178644</x:v>
      </x:c>
      <x:c r="I112" s="76" t="n">
        <x:f>Asumsi!$B$9</x:f>
        <x:v>0.05</x:v>
      </x:c>
      <x:c r="J112" s="76" t="n">
        <x:f>Asumsi!$B$10</x:f>
        <x:v>0</x:v>
      </x:c>
      <x:c r="K112" s="63" t="str">
        <x:f>IF(AND(F112&gt;=MEDIAN($F$112:$F$116)*Asumsi!$B$14,F112&lt;=MEDIAN($F$112:$F$116)*Asumsi!$B$15),"VALID","OUTLIER")</x:f>
        <x:v>VALID</x:v>
      </x:c>
      <x:c r="L112" s="85" t="n">
        <x:f>IF(COUNT(F112,G112,I112,J112)&lt;4,"",IF(K112="VALID",F112*(1-G112)/POWER(1+I112,H112/12)*(1+J112),""))</x:f>
        <x:v>4584772.466243505</x:v>
      </x:c>
      <x:c r="M112" s="63" t="str">
        <x:v>https://www.rumah123.com/jual/surabaya/simokerto/tanah/</x:v>
      </x:c>
      <x:c r="N112" s="63" t="str">
        <x:v>PROKSI IKLAN</x:v>
      </x:c>
      <x:c r="O112" s="63" t="str">
        <x:v>Belum verifikasi transaksi, koordinat, hak, luas, dan duplikasi iklan.</x:v>
      </x:c>
      <x:c r="P112" s="64"/>
      <x:c r="Q112" s="64"/>
    </x:row>
    <x:row r="113">
      <x:c r="A113" s="63" t="str">
        <x:v>SBY-22-2</x:v>
      </x:c>
      <x:c r="B113" s="63" t="str">
        <x:v>Simokerto</x:v>
      </x:c>
      <x:c r="C113" s="63" t="str">
        <x:v>ADM-Simokerto</x:v>
      </x:c>
      <x:c r="D113" s="82" t="n">
        <x:v>46277</x:v>
      </x:c>
      <x:c r="E113" s="63" t="str">
        <x:v>Harga penawaran</x:v>
      </x:c>
      <x:c r="F113" s="83" t="n">
        <x:v>7000000</x:v>
      </x:c>
      <x:c r="G113" s="76" t="n">
        <x:f>Asumsi!$B$8</x:f>
        <x:v>0.1</x:v>
      </x:c>
      <x:c r="H113" s="84" t="n">
        <x:f>(D113-Asumsi!$B$6)/30.4375</x:f>
        <x:v>8.344969199178644</x:v>
      </x:c>
      <x:c r="I113" s="76" t="n">
        <x:f>Asumsi!$B$9</x:f>
        <x:v>0.05</x:v>
      </x:c>
      <x:c r="J113" s="76" t="n">
        <x:f>Asumsi!$B$10</x:f>
        <x:v>0</x:v>
      </x:c>
      <x:c r="K113" s="63" t="str">
        <x:f>IF(AND(F113&gt;=MEDIAN($F$112:$F$116)*Asumsi!$B$14,F113&lt;=MEDIAN($F$112:$F$116)*Asumsi!$B$15),"VALID","OUTLIER")</x:f>
        <x:v>VALID</x:v>
      </x:c>
      <x:c r="L113" s="85" t="n">
        <x:f>IF(COUNT(F113,G113,I113,J113)&lt;4,"",IF(K113="VALID",F113*(1-G113)/POWER(1+I113,H113/12)*(1+J113),""))</x:f>
        <x:v>6089830.6003234405</x:v>
      </x:c>
      <x:c r="M113" s="63" t="str">
        <x:v>https://www.rumah123.com/jual/surabaya/simokerto/tanah/</x:v>
      </x:c>
      <x:c r="N113" s="63" t="str">
        <x:v>PROKSI IKLAN</x:v>
      </x:c>
      <x:c r="O113" s="63" t="str">
        <x:v>Belum verifikasi transaksi, koordinat, hak, luas, dan duplikasi iklan.</x:v>
      </x:c>
      <x:c r="P113" s="64"/>
      <x:c r="Q113" s="64"/>
    </x:row>
    <x:row r="114">
      <x:c r="A114" s="63" t="str">
        <x:v>SBY-22-3</x:v>
      </x:c>
      <x:c r="B114" s="63" t="str">
        <x:v>Simokerto</x:v>
      </x:c>
      <x:c r="C114" s="63" t="str">
        <x:v>ADM-Simokerto</x:v>
      </x:c>
      <x:c r="D114" s="82" t="n">
        <x:v>46277</x:v>
      </x:c>
      <x:c r="E114" s="63" t="str">
        <x:v>Harga penawaran</x:v>
      </x:c>
      <x:c r="F114" s="83" t="n">
        <x:v>8000000</x:v>
      </x:c>
      <x:c r="G114" s="76" t="n">
        <x:f>Asumsi!$B$8</x:f>
        <x:v>0.1</x:v>
      </x:c>
      <x:c r="H114" s="84" t="n">
        <x:f>(D114-Asumsi!$B$6)/30.4375</x:f>
        <x:v>8.344969199178644</x:v>
      </x:c>
      <x:c r="I114" s="76" t="n">
        <x:f>Asumsi!$B$9</x:f>
        <x:v>0.05</x:v>
      </x:c>
      <x:c r="J114" s="76" t="n">
        <x:f>Asumsi!$B$10</x:f>
        <x:v>0</x:v>
      </x:c>
      <x:c r="K114" s="63" t="str">
        <x:f>IF(AND(F114&gt;=MEDIAN($F$112:$F$116)*Asumsi!$B$14,F114&lt;=MEDIAN($F$112:$F$116)*Asumsi!$B$15),"VALID","OUTLIER")</x:f>
        <x:v>VALID</x:v>
      </x:c>
      <x:c r="L114" s="85" t="n">
        <x:f>IF(COUNT(F114,G114,I114,J114)&lt;4,"",IF(K114="VALID",F114*(1-G114)/POWER(1+I114,H114/12)*(1+J114),""))</x:f>
        <x:v>6959806.400369647</x:v>
      </x:c>
      <x:c r="M114" s="63" t="str">
        <x:v>https://www.rumah123.com/jual/surabaya/simokerto/tanah/</x:v>
      </x:c>
      <x:c r="N114" s="63" t="str">
        <x:v>PROKSI IKLAN</x:v>
      </x:c>
      <x:c r="O114" s="63" t="str">
        <x:v>Belum verifikasi transaksi, koordinat, hak, luas, dan duplikasi iklan.</x:v>
      </x:c>
      <x:c r="P114" s="64"/>
      <x:c r="Q114" s="64"/>
    </x:row>
    <x:row r="115">
      <x:c r="A115" s="63" t="str">
        <x:v>SBY-22-4</x:v>
      </x:c>
      <x:c r="B115" s="63" t="str">
        <x:v>Simokerto</x:v>
      </x:c>
      <x:c r="C115" s="63" t="str">
        <x:v>ADM-Simokerto</x:v>
      </x:c>
      <x:c r="D115" s="82" t="n">
        <x:v>46277</x:v>
      </x:c>
      <x:c r="E115" s="63" t="str">
        <x:v>Harga penawaran</x:v>
      </x:c>
      <x:c r="F115" s="83" t="n">
        <x:v>7400000</x:v>
      </x:c>
      <x:c r="G115" s="76" t="n">
        <x:f>Asumsi!$B$8</x:f>
        <x:v>0.1</x:v>
      </x:c>
      <x:c r="H115" s="84" t="n">
        <x:f>(D115-Asumsi!$B$6)/30.4375</x:f>
        <x:v>8.344969199178644</x:v>
      </x:c>
      <x:c r="I115" s="76" t="n">
        <x:f>Asumsi!$B$9</x:f>
        <x:v>0.05</x:v>
      </x:c>
      <x:c r="J115" s="76" t="n">
        <x:f>Asumsi!$B$10</x:f>
        <x:v>0</x:v>
      </x:c>
      <x:c r="K115" s="63" t="str">
        <x:f>IF(AND(F115&gt;=MEDIAN($F$112:$F$116)*Asumsi!$B$14,F115&lt;=MEDIAN($F$112:$F$116)*Asumsi!$B$15),"VALID","OUTLIER")</x:f>
        <x:v>VALID</x:v>
      </x:c>
      <x:c r="L115" s="85" t="n">
        <x:f>IF(COUNT(F115,G115,I115,J115)&lt;4,"",IF(K115="VALID",F115*(1-G115)/POWER(1+I115,H115/12)*(1+J115),""))</x:f>
        <x:v>6437820.920341923</x:v>
      </x:c>
      <x:c r="M115" s="63" t="str">
        <x:v>https://www.rumah123.com/jual/surabaya/simokerto/tanah/</x:v>
      </x:c>
      <x:c r="N115" s="63" t="str">
        <x:v>PROKSI IKLAN</x:v>
      </x:c>
      <x:c r="O115" s="63" t="str">
        <x:v>Belum verifikasi transaksi, koordinat, hak, luas, dan duplikasi iklan.</x:v>
      </x:c>
      <x:c r="P115" s="64"/>
      <x:c r="Q115" s="64"/>
    </x:row>
    <x:row r="116">
      <x:c r="A116" s="63" t="str">
        <x:v>SBY-22-5</x:v>
      </x:c>
      <x:c r="B116" s="63" t="str">
        <x:v>Simokerto</x:v>
      </x:c>
      <x:c r="C116" s="63" t="str">
        <x:v>ADM-Simokerto</x:v>
      </x:c>
      <x:c r="D116" s="82" t="n">
        <x:v>46277</x:v>
      </x:c>
      <x:c r="E116" s="63" t="str">
        <x:v>Harga penawaran</x:v>
      </x:c>
      <x:c r="F116" s="83" t="n">
        <x:v>5000000</x:v>
      </x:c>
      <x:c r="G116" s="76" t="n">
        <x:f>Asumsi!$B$8</x:f>
        <x:v>0.1</x:v>
      </x:c>
      <x:c r="H116" s="84" t="n">
        <x:f>(D116-Asumsi!$B$6)/30.4375</x:f>
        <x:v>8.344969199178644</x:v>
      </x:c>
      <x:c r="I116" s="76" t="n">
        <x:f>Asumsi!$B$9</x:f>
        <x:v>0.05</x:v>
      </x:c>
      <x:c r="J116" s="76" t="n">
        <x:f>Asumsi!$B$10</x:f>
        <x:v>0</x:v>
      </x:c>
      <x:c r="K116" s="63" t="str">
        <x:f>IF(AND(F116&gt;=MEDIAN($F$112:$F$116)*Asumsi!$B$14,F116&lt;=MEDIAN($F$112:$F$116)*Asumsi!$B$15),"VALID","OUTLIER")</x:f>
        <x:v>VALID</x:v>
      </x:c>
      <x:c r="L116" s="85" t="n">
        <x:f>IF(COUNT(F116,G116,I116,J116)&lt;4,"",IF(K116="VALID",F116*(1-G116)/POWER(1+I116,H116/12)*(1+J116),""))</x:f>
        <x:v>4349879.0002310295</x:v>
      </x:c>
      <x:c r="M116" s="63" t="str">
        <x:v>https://www.rumah123.com/jual/surabaya/simokerto/tanah/</x:v>
      </x:c>
      <x:c r="N116" s="63" t="str">
        <x:v>PROKSI IKLAN</x:v>
      </x:c>
      <x:c r="O116" s="63" t="str">
        <x:v>Belum verifikasi transaksi, koordinat, hak, luas, dan duplikasi iklan.</x:v>
      </x:c>
      <x:c r="P116" s="64"/>
      <x:c r="Q116" s="64"/>
    </x:row>
    <x:row r="117">
      <x:c r="A117" s="63" t="str">
        <x:v>SBY-23-1</x:v>
      </x:c>
      <x:c r="B117" s="63" t="str">
        <x:v>Sukolilo</x:v>
      </x:c>
      <x:c r="C117" s="63" t="str">
        <x:v>ADM-Sukolilo</x:v>
      </x:c>
      <x:c r="D117" s="82" t="n">
        <x:v>46277</x:v>
      </x:c>
      <x:c r="E117" s="63" t="str">
        <x:v>Harga penawaran</x:v>
      </x:c>
      <x:c r="F117" s="83" t="n">
        <x:v>10500000</x:v>
      </x:c>
      <x:c r="G117" s="76" t="n">
        <x:f>Asumsi!$B$8</x:f>
        <x:v>0.1</x:v>
      </x:c>
      <x:c r="H117" s="84" t="n">
        <x:f>(D117-Asumsi!$B$6)/30.4375</x:f>
        <x:v>8.344969199178644</x:v>
      </x:c>
      <x:c r="I117" s="76" t="n">
        <x:f>Asumsi!$B$9</x:f>
        <x:v>0.05</x:v>
      </x:c>
      <x:c r="J117" s="76" t="n">
        <x:f>Asumsi!$B$10</x:f>
        <x:v>0</x:v>
      </x:c>
      <x:c r="K117" s="63" t="str">
        <x:f>IF(AND(F117&gt;=MEDIAN($F$117:$F$121)*Asumsi!$B$14,F117&lt;=MEDIAN($F$117:$F$121)*Asumsi!$B$15),"VALID","OUTLIER")</x:f>
        <x:v>VALID</x:v>
      </x:c>
      <x:c r="L117" s="85" t="n">
        <x:f>IF(COUNT(F117,G117,I117,J117)&lt;4,"",IF(K117="VALID",F117*(1-G117)/POWER(1+I117,H117/12)*(1+J117),""))</x:f>
        <x:v>9134745.900485162</x:v>
      </x:c>
      <x:c r="M117" s="63" t="str">
        <x:v>https://www.rumah123.com/jual/surabaya/sukolilo/tanah/</x:v>
      </x:c>
      <x:c r="N117" s="63" t="str">
        <x:v>PROKSI IKLAN</x:v>
      </x:c>
      <x:c r="O117" s="63" t="str">
        <x:v>Belum verifikasi transaksi, koordinat, hak, luas, dan duplikasi iklan.</x:v>
      </x:c>
      <x:c r="P117" s="64"/>
      <x:c r="Q117" s="64"/>
    </x:row>
    <x:row r="118">
      <x:c r="A118" s="63" t="str">
        <x:v>SBY-23-2</x:v>
      </x:c>
      <x:c r="B118" s="63" t="str">
        <x:v>Sukolilo</x:v>
      </x:c>
      <x:c r="C118" s="63" t="str">
        <x:v>ADM-Sukolilo</x:v>
      </x:c>
      <x:c r="D118" s="82" t="n">
        <x:v>46277</x:v>
      </x:c>
      <x:c r="E118" s="63" t="str">
        <x:v>Harga penawaran</x:v>
      </x:c>
      <x:c r="F118" s="83" t="n">
        <x:v>10500000</x:v>
      </x:c>
      <x:c r="G118" s="76" t="n">
        <x:f>Asumsi!$B$8</x:f>
        <x:v>0.1</x:v>
      </x:c>
      <x:c r="H118" s="84" t="n">
        <x:f>(D118-Asumsi!$B$6)/30.4375</x:f>
        <x:v>8.344969199178644</x:v>
      </x:c>
      <x:c r="I118" s="76" t="n">
        <x:f>Asumsi!$B$9</x:f>
        <x:v>0.05</x:v>
      </x:c>
      <x:c r="J118" s="76" t="n">
        <x:f>Asumsi!$B$10</x:f>
        <x:v>0</x:v>
      </x:c>
      <x:c r="K118" s="63" t="str">
        <x:f>IF(AND(F118&gt;=MEDIAN($F$117:$F$121)*Asumsi!$B$14,F118&lt;=MEDIAN($F$117:$F$121)*Asumsi!$B$15),"VALID","OUTLIER")</x:f>
        <x:v>VALID</x:v>
      </x:c>
      <x:c r="L118" s="85" t="n">
        <x:f>IF(COUNT(F118,G118,I118,J118)&lt;4,"",IF(K118="VALID",F118*(1-G118)/POWER(1+I118,H118/12)*(1+J118),""))</x:f>
        <x:v>9134745.900485162</x:v>
      </x:c>
      <x:c r="M118" s="63" t="str">
        <x:v>https://www.rumah123.com/jual/surabaya/sukolilo/tanah/</x:v>
      </x:c>
      <x:c r="N118" s="63" t="str">
        <x:v>PROKSI IKLAN</x:v>
      </x:c>
      <x:c r="O118" s="63" t="str">
        <x:v>Belum verifikasi transaksi, koordinat, hak, luas, dan duplikasi iklan.</x:v>
      </x:c>
      <x:c r="P118" s="64"/>
      <x:c r="Q118" s="64"/>
    </x:row>
    <x:row r="119">
      <x:c r="A119" s="63" t="str">
        <x:v>SBY-23-3</x:v>
      </x:c>
      <x:c r="B119" s="63" t="str">
        <x:v>Sukolilo</x:v>
      </x:c>
      <x:c r="C119" s="63" t="str">
        <x:v>ADM-Sukolilo</x:v>
      </x:c>
      <x:c r="D119" s="82" t="n">
        <x:v>46277</x:v>
      </x:c>
      <x:c r="E119" s="63" t="str">
        <x:v>Harga penawaran</x:v>
      </x:c>
      <x:c r="F119" s="83" t="n">
        <x:v>10000000</x:v>
      </x:c>
      <x:c r="G119" s="76" t="n">
        <x:f>Asumsi!$B$8</x:f>
        <x:v>0.1</x:v>
      </x:c>
      <x:c r="H119" s="84" t="n">
        <x:f>(D119-Asumsi!$B$6)/30.4375</x:f>
        <x:v>8.344969199178644</x:v>
      </x:c>
      <x:c r="I119" s="76" t="n">
        <x:f>Asumsi!$B$9</x:f>
        <x:v>0.05</x:v>
      </x:c>
      <x:c r="J119" s="76" t="n">
        <x:f>Asumsi!$B$10</x:f>
        <x:v>0</x:v>
      </x:c>
      <x:c r="K119" s="63" t="str">
        <x:f>IF(AND(F119&gt;=MEDIAN($F$117:$F$121)*Asumsi!$B$14,F119&lt;=MEDIAN($F$117:$F$121)*Asumsi!$B$15),"VALID","OUTLIER")</x:f>
        <x:v>VALID</x:v>
      </x:c>
      <x:c r="L119" s="85" t="n">
        <x:f>IF(COUNT(F119,G119,I119,J119)&lt;4,"",IF(K119="VALID",F119*(1-G119)/POWER(1+I119,H119/12)*(1+J119),""))</x:f>
        <x:v>8699758.000462059</x:v>
      </x:c>
      <x:c r="M119" s="63" t="str">
        <x:v>https://www.rumah123.com/jual/surabaya/sukolilo/tanah/</x:v>
      </x:c>
      <x:c r="N119" s="63" t="str">
        <x:v>PROKSI IKLAN</x:v>
      </x:c>
      <x:c r="O119" s="63" t="str">
        <x:v>Belum verifikasi transaksi, koordinat, hak, luas, dan duplikasi iklan.</x:v>
      </x:c>
      <x:c r="P119" s="64"/>
      <x:c r="Q119" s="64"/>
    </x:row>
    <x:row r="120">
      <x:c r="A120" s="63" t="str">
        <x:v>SBY-23-4</x:v>
      </x:c>
      <x:c r="B120" s="63" t="str">
        <x:v>Sukolilo</x:v>
      </x:c>
      <x:c r="C120" s="63" t="str">
        <x:v>ADM-Sukolilo</x:v>
      </x:c>
      <x:c r="D120" s="82" t="n">
        <x:v>46277</x:v>
      </x:c>
      <x:c r="E120" s="63" t="str">
        <x:v>Harga penawaran</x:v>
      </x:c>
      <x:c r="F120" s="83" t="n">
        <x:v>8400000</x:v>
      </x:c>
      <x:c r="G120" s="76" t="n">
        <x:f>Asumsi!$B$8</x:f>
        <x:v>0.1</x:v>
      </x:c>
      <x:c r="H120" s="84" t="n">
        <x:f>(D120-Asumsi!$B$6)/30.4375</x:f>
        <x:v>8.344969199178644</x:v>
      </x:c>
      <x:c r="I120" s="76" t="n">
        <x:f>Asumsi!$B$9</x:f>
        <x:v>0.05</x:v>
      </x:c>
      <x:c r="J120" s="76" t="n">
        <x:f>Asumsi!$B$10</x:f>
        <x:v>0</x:v>
      </x:c>
      <x:c r="K120" s="63" t="str">
        <x:f>IF(AND(F120&gt;=MEDIAN($F$117:$F$121)*Asumsi!$B$14,F120&lt;=MEDIAN($F$117:$F$121)*Asumsi!$B$15),"VALID","OUTLIER")</x:f>
        <x:v>VALID</x:v>
      </x:c>
      <x:c r="L120" s="85" t="n">
        <x:f>IF(COUNT(F120,G120,I120,J120)&lt;4,"",IF(K120="VALID",F120*(1-G120)/POWER(1+I120,H120/12)*(1+J120),""))</x:f>
        <x:v>7307796.720388128</x:v>
      </x:c>
      <x:c r="M120" s="63" t="str">
        <x:v>https://www.rumah123.com/jual/surabaya/sukolilo/tanah/</x:v>
      </x:c>
      <x:c r="N120" s="63" t="str">
        <x:v>PROKSI IKLAN</x:v>
      </x:c>
      <x:c r="O120" s="63" t="str">
        <x:v>Belum verifikasi transaksi, koordinat, hak, luas, dan duplikasi iklan.</x:v>
      </x:c>
      <x:c r="P120" s="64"/>
      <x:c r="Q120" s="64"/>
    </x:row>
    <x:row r="121">
      <x:c r="A121" s="63" t="str">
        <x:v>SBY-23-5</x:v>
      </x:c>
      <x:c r="B121" s="63" t="str">
        <x:v>Sukolilo</x:v>
      </x:c>
      <x:c r="C121" s="63" t="str">
        <x:v>ADM-Sukolilo</x:v>
      </x:c>
      <x:c r="D121" s="82" t="n">
        <x:v>46277</x:v>
      </x:c>
      <x:c r="E121" s="63" t="str">
        <x:v>Harga penawaran</x:v>
      </x:c>
      <x:c r="F121" s="83" t="n">
        <x:v>15000000</x:v>
      </x:c>
      <x:c r="G121" s="76" t="n">
        <x:f>Asumsi!$B$8</x:f>
        <x:v>0.1</x:v>
      </x:c>
      <x:c r="H121" s="84" t="n">
        <x:f>(D121-Asumsi!$B$6)/30.4375</x:f>
        <x:v>8.344969199178644</x:v>
      </x:c>
      <x:c r="I121" s="76" t="n">
        <x:f>Asumsi!$B$9</x:f>
        <x:v>0.05</x:v>
      </x:c>
      <x:c r="J121" s="76" t="n">
        <x:f>Asumsi!$B$10</x:f>
        <x:v>0</x:v>
      </x:c>
      <x:c r="K121" s="63" t="str">
        <x:f>IF(AND(F121&gt;=MEDIAN($F$117:$F$121)*Asumsi!$B$14,F121&lt;=MEDIAN($F$117:$F$121)*Asumsi!$B$15),"VALID","OUTLIER")</x:f>
        <x:v>VALID</x:v>
      </x:c>
      <x:c r="L121" s="85" t="n">
        <x:f>IF(COUNT(F121,G121,I121,J121)&lt;4,"",IF(K121="VALID",F121*(1-G121)/POWER(1+I121,H121/12)*(1+J121),""))</x:f>
        <x:v>13049637.000693087</x:v>
      </x:c>
      <x:c r="M121" s="63" t="str">
        <x:v>https://www.rumah123.com/jual/surabaya/sukolilo/tanah/</x:v>
      </x:c>
      <x:c r="N121" s="63" t="str">
        <x:v>PROKSI IKLAN</x:v>
      </x:c>
      <x:c r="O121" s="63" t="str">
        <x:v>Belum verifikasi transaksi, koordinat, hak, luas, dan duplikasi iklan.</x:v>
      </x:c>
      <x:c r="P121" s="64"/>
      <x:c r="Q121" s="64"/>
    </x:row>
    <x:row r="122">
      <x:c r="A122" s="63" t="str">
        <x:v>SBY-24-1</x:v>
      </x:c>
      <x:c r="B122" s="63" t="str">
        <x:v>Sukomanunggal</x:v>
      </x:c>
      <x:c r="C122" s="63" t="str">
        <x:v>ADM-Sukomanunggal</x:v>
      </x:c>
      <x:c r="D122" s="82" t="n">
        <x:v>46277</x:v>
      </x:c>
      <x:c r="E122" s="63" t="str">
        <x:v>Harga penawaran</x:v>
      </x:c>
      <x:c r="F122" s="83" t="n">
        <x:v>20000000</x:v>
      </x:c>
      <x:c r="G122" s="76" t="n">
        <x:f>Asumsi!$B$8</x:f>
        <x:v>0.1</x:v>
      </x:c>
      <x:c r="H122" s="84" t="n">
        <x:f>(D122-Asumsi!$B$6)/30.4375</x:f>
        <x:v>8.344969199178644</x:v>
      </x:c>
      <x:c r="I122" s="76" t="n">
        <x:f>Asumsi!$B$9</x:f>
        <x:v>0.05</x:v>
      </x:c>
      <x:c r="J122" s="76" t="n">
        <x:f>Asumsi!$B$10</x:f>
        <x:v>0</x:v>
      </x:c>
      <x:c r="K122" s="63" t="str">
        <x:f>IF(AND(F122&gt;=MEDIAN($F$122:$F$126)*Asumsi!$B$14,F122&lt;=MEDIAN($F$122:$F$126)*Asumsi!$B$15),"VALID","OUTLIER")</x:f>
        <x:v>VALID</x:v>
      </x:c>
      <x:c r="L122" s="85" t="n">
        <x:f>IF(COUNT(F122,G122,I122,J122)&lt;4,"",IF(K122="VALID",F122*(1-G122)/POWER(1+I122,H122/12)*(1+J122),""))</x:f>
        <x:v>17399516.000924118</x:v>
      </x:c>
      <x:c r="M122" s="63" t="str">
        <x:v>https://www.rumah123.com/jual/surabaya/sukomanunggal/tanah/</x:v>
      </x:c>
      <x:c r="N122" s="63" t="str">
        <x:v>PROKSI IKLAN</x:v>
      </x:c>
      <x:c r="O122" s="63" t="str">
        <x:v>Belum verifikasi transaksi, koordinat, hak, luas, dan duplikasi iklan.</x:v>
      </x:c>
      <x:c r="P122" s="64"/>
      <x:c r="Q122" s="64"/>
    </x:row>
    <x:row r="123">
      <x:c r="A123" s="63" t="str">
        <x:v>SBY-24-2</x:v>
      </x:c>
      <x:c r="B123" s="63" t="str">
        <x:v>Sukomanunggal</x:v>
      </x:c>
      <x:c r="C123" s="63" t="str">
        <x:v>ADM-Sukomanunggal</x:v>
      </x:c>
      <x:c r="D123" s="82" t="n">
        <x:v>46277</x:v>
      </x:c>
      <x:c r="E123" s="63" t="str">
        <x:v>Harga penawaran</x:v>
      </x:c>
      <x:c r="F123" s="83" t="n">
        <x:v>20000000</x:v>
      </x:c>
      <x:c r="G123" s="76" t="n">
        <x:f>Asumsi!$B$8</x:f>
        <x:v>0.1</x:v>
      </x:c>
      <x:c r="H123" s="84" t="n">
        <x:f>(D123-Asumsi!$B$6)/30.4375</x:f>
        <x:v>8.344969199178644</x:v>
      </x:c>
      <x:c r="I123" s="76" t="n">
        <x:f>Asumsi!$B$9</x:f>
        <x:v>0.05</x:v>
      </x:c>
      <x:c r="J123" s="76" t="n">
        <x:f>Asumsi!$B$10</x:f>
        <x:v>0</x:v>
      </x:c>
      <x:c r="K123" s="63" t="str">
        <x:f>IF(AND(F123&gt;=MEDIAN($F$122:$F$126)*Asumsi!$B$14,F123&lt;=MEDIAN($F$122:$F$126)*Asumsi!$B$15),"VALID","OUTLIER")</x:f>
        <x:v>VALID</x:v>
      </x:c>
      <x:c r="L123" s="85" t="n">
        <x:f>IF(COUNT(F123,G123,I123,J123)&lt;4,"",IF(K123="VALID",F123*(1-G123)/POWER(1+I123,H123/12)*(1+J123),""))</x:f>
        <x:v>17399516.000924118</x:v>
      </x:c>
      <x:c r="M123" s="63" t="str">
        <x:v>https://www.rumah123.com/jual/surabaya/sukomanunggal/tanah/</x:v>
      </x:c>
      <x:c r="N123" s="63" t="str">
        <x:v>PROKSI IKLAN</x:v>
      </x:c>
      <x:c r="O123" s="63" t="str">
        <x:v>Belum verifikasi transaksi, koordinat, hak, luas, dan duplikasi iklan.</x:v>
      </x:c>
      <x:c r="P123" s="64"/>
      <x:c r="Q123" s="64"/>
    </x:row>
    <x:row r="124">
      <x:c r="A124" s="63" t="str">
        <x:v>SBY-24-3</x:v>
      </x:c>
      <x:c r="B124" s="63" t="str">
        <x:v>Sukomanunggal</x:v>
      </x:c>
      <x:c r="C124" s="63" t="str">
        <x:v>ADM-Sukomanunggal</x:v>
      </x:c>
      <x:c r="D124" s="82" t="n">
        <x:v>46277</x:v>
      </x:c>
      <x:c r="E124" s="63" t="str">
        <x:v>Harga penawaran</x:v>
      </x:c>
      <x:c r="F124" s="83" t="n">
        <x:v>20000000</x:v>
      </x:c>
      <x:c r="G124" s="76" t="n">
        <x:f>Asumsi!$B$8</x:f>
        <x:v>0.1</x:v>
      </x:c>
      <x:c r="H124" s="84" t="n">
        <x:f>(D124-Asumsi!$B$6)/30.4375</x:f>
        <x:v>8.344969199178644</x:v>
      </x:c>
      <x:c r="I124" s="76" t="n">
        <x:f>Asumsi!$B$9</x:f>
        <x:v>0.05</x:v>
      </x:c>
      <x:c r="J124" s="76" t="n">
        <x:f>Asumsi!$B$10</x:f>
        <x:v>0</x:v>
      </x:c>
      <x:c r="K124" s="63" t="str">
        <x:f>IF(AND(F124&gt;=MEDIAN($F$122:$F$126)*Asumsi!$B$14,F124&lt;=MEDIAN($F$122:$F$126)*Asumsi!$B$15),"VALID","OUTLIER")</x:f>
        <x:v>VALID</x:v>
      </x:c>
      <x:c r="L124" s="85" t="n">
        <x:f>IF(COUNT(F124,G124,I124,J124)&lt;4,"",IF(K124="VALID",F124*(1-G124)/POWER(1+I124,H124/12)*(1+J124),""))</x:f>
        <x:v>17399516.000924118</x:v>
      </x:c>
      <x:c r="M124" s="63" t="str">
        <x:v>https://www.rumah123.com/jual/surabaya/sukomanunggal/tanah/</x:v>
      </x:c>
      <x:c r="N124" s="63" t="str">
        <x:v>PROKSI IKLAN</x:v>
      </x:c>
      <x:c r="O124" s="63" t="str">
        <x:v>Belum verifikasi transaksi, koordinat, hak, luas, dan duplikasi iklan.</x:v>
      </x:c>
      <x:c r="P124" s="64"/>
      <x:c r="Q124" s="64"/>
    </x:row>
    <x:row r="125">
      <x:c r="A125" s="63" t="str">
        <x:v>SBY-24-4</x:v>
      </x:c>
      <x:c r="B125" s="63" t="str">
        <x:v>Sukomanunggal</x:v>
      </x:c>
      <x:c r="C125" s="63" t="str">
        <x:v>ADM-Sukomanunggal</x:v>
      </x:c>
      <x:c r="D125" s="82" t="n">
        <x:v>46277</x:v>
      </x:c>
      <x:c r="E125" s="63" t="str">
        <x:v>Harga penawaran</x:v>
      </x:c>
      <x:c r="F125" s="83" t="n">
        <x:v>23000000</x:v>
      </x:c>
      <x:c r="G125" s="76" t="n">
        <x:f>Asumsi!$B$8</x:f>
        <x:v>0.1</x:v>
      </x:c>
      <x:c r="H125" s="84" t="n">
        <x:f>(D125-Asumsi!$B$6)/30.4375</x:f>
        <x:v>8.344969199178644</x:v>
      </x:c>
      <x:c r="I125" s="76" t="n">
        <x:f>Asumsi!$B$9</x:f>
        <x:v>0.05</x:v>
      </x:c>
      <x:c r="J125" s="76" t="n">
        <x:f>Asumsi!$B$10</x:f>
        <x:v>0</x:v>
      </x:c>
      <x:c r="K125" s="63" t="str">
        <x:f>IF(AND(F125&gt;=MEDIAN($F$122:$F$126)*Asumsi!$B$14,F125&lt;=MEDIAN($F$122:$F$126)*Asumsi!$B$15),"VALID","OUTLIER")</x:f>
        <x:v>VALID</x:v>
      </x:c>
      <x:c r="L125" s="85" t="n">
        <x:f>IF(COUNT(F125,G125,I125,J125)&lt;4,"",IF(K125="VALID",F125*(1-G125)/POWER(1+I125,H125/12)*(1+J125),""))</x:f>
        <x:v>20009443.401062734</x:v>
      </x:c>
      <x:c r="M125" s="63" t="str">
        <x:v>https://www.rumah123.com/jual/surabaya/sukomanunggal/tanah/</x:v>
      </x:c>
      <x:c r="N125" s="63" t="str">
        <x:v>PROKSI IKLAN</x:v>
      </x:c>
      <x:c r="O125" s="63" t="str">
        <x:v>Belum verifikasi transaksi, koordinat, hak, luas, dan duplikasi iklan.</x:v>
      </x:c>
      <x:c r="P125" s="64"/>
      <x:c r="Q125" s="64"/>
    </x:row>
    <x:row r="126">
      <x:c r="A126" s="63" t="str">
        <x:v>SBY-24-5</x:v>
      </x:c>
      <x:c r="B126" s="63" t="str">
        <x:v>Sukomanunggal</x:v>
      </x:c>
      <x:c r="C126" s="63" t="str">
        <x:v>ADM-Sukomanunggal</x:v>
      </x:c>
      <x:c r="D126" s="82" t="n">
        <x:v>46277</x:v>
      </x:c>
      <x:c r="E126" s="63" t="str">
        <x:v>Harga penawaran</x:v>
      </x:c>
      <x:c r="F126" s="83" t="n">
        <x:v>12000000</x:v>
      </x:c>
      <x:c r="G126" s="76" t="n">
        <x:f>Asumsi!$B$8</x:f>
        <x:v>0.1</x:v>
      </x:c>
      <x:c r="H126" s="84" t="n">
        <x:f>(D126-Asumsi!$B$6)/30.4375</x:f>
        <x:v>8.344969199178644</x:v>
      </x:c>
      <x:c r="I126" s="76" t="n">
        <x:f>Asumsi!$B$9</x:f>
        <x:v>0.05</x:v>
      </x:c>
      <x:c r="J126" s="76" t="n">
        <x:f>Asumsi!$B$10</x:f>
        <x:v>0</x:v>
      </x:c>
      <x:c r="K126" s="63" t="str">
        <x:f>IF(AND(F126&gt;=MEDIAN($F$122:$F$126)*Asumsi!$B$14,F126&lt;=MEDIAN($F$122:$F$126)*Asumsi!$B$15),"VALID","OUTLIER")</x:f>
        <x:v>VALID</x:v>
      </x:c>
      <x:c r="L126" s="85" t="n">
        <x:f>IF(COUNT(F126,G126,I126,J126)&lt;4,"",IF(K126="VALID",F126*(1-G126)/POWER(1+I126,H126/12)*(1+J126),""))</x:f>
        <x:v>10439709.60055447</x:v>
      </x:c>
      <x:c r="M126" s="63" t="str">
        <x:v>https://www.rumah123.com/jual/surabaya/sukomanunggal/tanah/</x:v>
      </x:c>
      <x:c r="N126" s="63" t="str">
        <x:v>PROKSI IKLAN</x:v>
      </x:c>
      <x:c r="O126" s="63" t="str">
        <x:v>Belum verifikasi transaksi, koordinat, hak, luas, dan duplikasi iklan.</x:v>
      </x:c>
      <x:c r="P126" s="64"/>
      <x:c r="Q126" s="64"/>
    </x:row>
    <x:row r="127">
      <x:c r="A127" s="63" t="str">
        <x:v>SBY-25-1</x:v>
      </x:c>
      <x:c r="B127" s="63" t="str">
        <x:v>Tambaksari</x:v>
      </x:c>
      <x:c r="C127" s="63" t="str">
        <x:v>ADM-Tambaksari</x:v>
      </x:c>
      <x:c r="D127" s="82" t="n">
        <x:v>46277</x:v>
      </x:c>
      <x:c r="E127" s="63" t="str">
        <x:v>Harga penawaran</x:v>
      </x:c>
      <x:c r="F127" s="83" t="n">
        <x:v>20000000</x:v>
      </x:c>
      <x:c r="G127" s="76" t="n">
        <x:f>Asumsi!$B$8</x:f>
        <x:v>0.1</x:v>
      </x:c>
      <x:c r="H127" s="84" t="n">
        <x:f>(D127-Asumsi!$B$6)/30.4375</x:f>
        <x:v>8.344969199178644</x:v>
      </x:c>
      <x:c r="I127" s="76" t="n">
        <x:f>Asumsi!$B$9</x:f>
        <x:v>0.05</x:v>
      </x:c>
      <x:c r="J127" s="76" t="n">
        <x:f>Asumsi!$B$10</x:f>
        <x:v>0</x:v>
      </x:c>
      <x:c r="K127" s="63" t="str">
        <x:f>IF(AND(F127&gt;=MEDIAN($F$127:$F$131)*Asumsi!$B$14,F127&lt;=MEDIAN($F$127:$F$131)*Asumsi!$B$15),"VALID","OUTLIER")</x:f>
        <x:v>VALID</x:v>
      </x:c>
      <x:c r="L127" s="85" t="n">
        <x:f>IF(COUNT(F127,G127,I127,J127)&lt;4,"",IF(K127="VALID",F127*(1-G127)/POWER(1+I127,H127/12)*(1+J127),""))</x:f>
        <x:v>17399516.000924118</x:v>
      </x:c>
      <x:c r="M127" s="63" t="str">
        <x:v>https://www.rumah123.com/jual/surabaya/tambaksari/tanah/</x:v>
      </x:c>
      <x:c r="N127" s="63" t="str">
        <x:v>PROKSI IKLAN</x:v>
      </x:c>
      <x:c r="O127" s="63" t="str">
        <x:v>Belum verifikasi transaksi, koordinat, hak, luas, dan duplikasi iklan.</x:v>
      </x:c>
      <x:c r="P127" s="64"/>
      <x:c r="Q127" s="64"/>
    </x:row>
    <x:row r="128">
      <x:c r="A128" s="63" t="str">
        <x:v>SBY-25-2</x:v>
      </x:c>
      <x:c r="B128" s="63" t="str">
        <x:v>Tambaksari</x:v>
      </x:c>
      <x:c r="C128" s="63" t="str">
        <x:v>ADM-Tambaksari</x:v>
      </x:c>
      <x:c r="D128" s="82" t="n">
        <x:v>46277</x:v>
      </x:c>
      <x:c r="E128" s="63" t="str">
        <x:v>Harga penawaran</x:v>
      </x:c>
      <x:c r="F128" s="83" t="n">
        <x:v>27700000</x:v>
      </x:c>
      <x:c r="G128" s="76" t="n">
        <x:f>Asumsi!$B$8</x:f>
        <x:v>0.1</x:v>
      </x:c>
      <x:c r="H128" s="84" t="n">
        <x:f>(D128-Asumsi!$B$6)/30.4375</x:f>
        <x:v>8.344969199178644</x:v>
      </x:c>
      <x:c r="I128" s="76" t="n">
        <x:f>Asumsi!$B$9</x:f>
        <x:v>0.05</x:v>
      </x:c>
      <x:c r="J128" s="76" t="n">
        <x:f>Asumsi!$B$10</x:f>
        <x:v>0</x:v>
      </x:c>
      <x:c r="K128" s="63" t="str">
        <x:f>IF(AND(F128&gt;=MEDIAN($F$127:$F$131)*Asumsi!$B$14,F128&lt;=MEDIAN($F$127:$F$131)*Asumsi!$B$15),"VALID","OUTLIER")</x:f>
        <x:v>VALID</x:v>
      </x:c>
      <x:c r="L128" s="85" t="n">
        <x:f>IF(COUNT(F128,G128,I128,J128)&lt;4,"",IF(K128="VALID",F128*(1-G128)/POWER(1+I128,H128/12)*(1+J128),""))</x:f>
        <x:v>24098329.6612799</x:v>
      </x:c>
      <x:c r="M128" s="63" t="str">
        <x:v>https://www.rumah123.com/jual/surabaya/tambaksari/tanah/</x:v>
      </x:c>
      <x:c r="N128" s="63" t="str">
        <x:v>PROKSI IKLAN</x:v>
      </x:c>
      <x:c r="O128" s="63" t="str">
        <x:v>Belum verifikasi transaksi, koordinat, hak, luas, dan duplikasi iklan.</x:v>
      </x:c>
      <x:c r="P128" s="64"/>
      <x:c r="Q128" s="64"/>
    </x:row>
    <x:row r="129">
      <x:c r="A129" s="63" t="str">
        <x:v>SBY-25-3</x:v>
      </x:c>
      <x:c r="B129" s="63" t="str">
        <x:v>Tambaksari</x:v>
      </x:c>
      <x:c r="C129" s="63" t="str">
        <x:v>ADM-Tambaksari</x:v>
      </x:c>
      <x:c r="D129" s="82" t="n">
        <x:v>46277</x:v>
      </x:c>
      <x:c r="E129" s="63" t="str">
        <x:v>Harga penawaran</x:v>
      </x:c>
      <x:c r="F129" s="83" t="n">
        <x:v>7500000</x:v>
      </x:c>
      <x:c r="G129" s="76" t="n">
        <x:f>Asumsi!$B$8</x:f>
        <x:v>0.1</x:v>
      </x:c>
      <x:c r="H129" s="84" t="n">
        <x:f>(D129-Asumsi!$B$6)/30.4375</x:f>
        <x:v>8.344969199178644</x:v>
      </x:c>
      <x:c r="I129" s="76" t="n">
        <x:f>Asumsi!$B$9</x:f>
        <x:v>0.05</x:v>
      </x:c>
      <x:c r="J129" s="76" t="n">
        <x:f>Asumsi!$B$10</x:f>
        <x:v>0</x:v>
      </x:c>
      <x:c r="K129" s="63" t="str">
        <x:f>IF(AND(F129&gt;=MEDIAN($F$127:$F$131)*Asumsi!$B$14,F129&lt;=MEDIAN($F$127:$F$131)*Asumsi!$B$15),"VALID","OUTLIER")</x:f>
        <x:v>OUTLIER</x:v>
      </x:c>
      <x:c r="L129" s="85" t="str">
        <x:f>IF(COUNT(F129,G129,I129,J129)&lt;4,"",IF(K129="VALID",F129*(1-G129)/POWER(1+I129,H129/12)*(1+J129),""))</x:f>
      </x:c>
      <x:c r="M129" s="63" t="str">
        <x:v>https://www.rumah123.com/jual/surabaya/tambaksari/tanah/</x:v>
      </x:c>
      <x:c r="N129" s="63" t="str">
        <x:v>PROKSI IKLAN</x:v>
      </x:c>
      <x:c r="O129" s="63" t="str">
        <x:v>Belum verifikasi transaksi, koordinat, hak, luas, dan duplikasi iklan.</x:v>
      </x:c>
      <x:c r="P129" s="64"/>
      <x:c r="Q129" s="64"/>
    </x:row>
    <x:row r="130">
      <x:c r="A130" s="63" t="str">
        <x:v>SBY-25-4</x:v>
      </x:c>
      <x:c r="B130" s="63" t="str">
        <x:v>Tambaksari</x:v>
      </x:c>
      <x:c r="C130" s="63" t="str">
        <x:v>ADM-Tambaksari</x:v>
      </x:c>
      <x:c r="D130" s="82" t="n">
        <x:v>46277</x:v>
      </x:c>
      <x:c r="E130" s="63" t="str">
        <x:v>Harga penawaran</x:v>
      </x:c>
      <x:c r="F130" s="83" t="n">
        <x:v>24300000</x:v>
      </x:c>
      <x:c r="G130" s="76" t="n">
        <x:f>Asumsi!$B$8</x:f>
        <x:v>0.1</x:v>
      </x:c>
      <x:c r="H130" s="84" t="n">
        <x:f>(D130-Asumsi!$B$6)/30.4375</x:f>
        <x:v>8.344969199178644</x:v>
      </x:c>
      <x:c r="I130" s="76" t="n">
        <x:f>Asumsi!$B$9</x:f>
        <x:v>0.05</x:v>
      </x:c>
      <x:c r="J130" s="76" t="n">
        <x:f>Asumsi!$B$10</x:f>
        <x:v>0</x:v>
      </x:c>
      <x:c r="K130" s="63" t="str">
        <x:f>IF(AND(F130&gt;=MEDIAN($F$127:$F$131)*Asumsi!$B$14,F130&lt;=MEDIAN($F$127:$F$131)*Asumsi!$B$15),"VALID","OUTLIER")</x:f>
        <x:v>VALID</x:v>
      </x:c>
      <x:c r="L130" s="85" t="n">
        <x:f>IF(COUNT(F130,G130,I130,J130)&lt;4,"",IF(K130="VALID",F130*(1-G130)/POWER(1+I130,H130/12)*(1+J130),""))</x:f>
        <x:v>21140411.9411228</x:v>
      </x:c>
      <x:c r="M130" s="63" t="str">
        <x:v>https://www.rumah123.com/jual/surabaya/tambaksari/tanah/</x:v>
      </x:c>
      <x:c r="N130" s="63" t="str">
        <x:v>PROKSI IKLAN</x:v>
      </x:c>
      <x:c r="O130" s="63" t="str">
        <x:v>Belum verifikasi transaksi, koordinat, hak, luas, dan duplikasi iklan.</x:v>
      </x:c>
      <x:c r="P130" s="64"/>
      <x:c r="Q130" s="64"/>
    </x:row>
    <x:row r="131">
      <x:c r="A131" s="63" t="str">
        <x:v>SBY-25-5</x:v>
      </x:c>
      <x:c r="B131" s="63" t="str">
        <x:v>Tambaksari</x:v>
      </x:c>
      <x:c r="C131" s="63" t="str">
        <x:v>ADM-Tambaksari</x:v>
      </x:c>
      <x:c r="D131" s="82" t="n">
        <x:v>46277</x:v>
      </x:c>
      <x:c r="E131" s="63" t="str">
        <x:v>Harga penawaran</x:v>
      </x:c>
      <x:c r="F131" s="83" t="n">
        <x:v>7000000</x:v>
      </x:c>
      <x:c r="G131" s="76" t="n">
        <x:f>Asumsi!$B$8</x:f>
        <x:v>0.1</x:v>
      </x:c>
      <x:c r="H131" s="84" t="n">
        <x:f>(D131-Asumsi!$B$6)/30.4375</x:f>
        <x:v>8.344969199178644</x:v>
      </x:c>
      <x:c r="I131" s="76" t="n">
        <x:f>Asumsi!$B$9</x:f>
        <x:v>0.05</x:v>
      </x:c>
      <x:c r="J131" s="76" t="n">
        <x:f>Asumsi!$B$10</x:f>
        <x:v>0</x:v>
      </x:c>
      <x:c r="K131" s="63" t="str">
        <x:f>IF(AND(F131&gt;=MEDIAN($F$127:$F$131)*Asumsi!$B$14,F131&lt;=MEDIAN($F$127:$F$131)*Asumsi!$B$15),"VALID","OUTLIER")</x:f>
        <x:v>OUTLIER</x:v>
      </x:c>
      <x:c r="L131" s="85" t="str">
        <x:f>IF(COUNT(F131,G131,I131,J131)&lt;4,"",IF(K131="VALID",F131*(1-G131)/POWER(1+I131,H131/12)*(1+J131),""))</x:f>
      </x:c>
      <x:c r="M131" s="63" t="str">
        <x:v>https://www.rumah123.com/jual/surabaya/tambaksari/tanah/</x:v>
      </x:c>
      <x:c r="N131" s="63" t="str">
        <x:v>PROKSI IKLAN</x:v>
      </x:c>
      <x:c r="O131" s="63" t="str">
        <x:v>Belum verifikasi transaksi, koordinat, hak, luas, dan duplikasi iklan.</x:v>
      </x:c>
      <x:c r="P131" s="64"/>
      <x:c r="Q131" s="64"/>
    </x:row>
    <x:row r="132">
      <x:c r="A132" s="63" t="str">
        <x:v>SBY-26-1</x:v>
      </x:c>
      <x:c r="B132" s="63" t="str">
        <x:v>Tandes</x:v>
      </x:c>
      <x:c r="C132" s="63" t="str">
        <x:v>ADM-Tandes</x:v>
      </x:c>
      <x:c r="D132" s="82" t="n">
        <x:v>46277</x:v>
      </x:c>
      <x:c r="E132" s="63" t="str">
        <x:v>Harga penawaran</x:v>
      </x:c>
      <x:c r="F132" s="83" t="n">
        <x:v>11000000</x:v>
      </x:c>
      <x:c r="G132" s="76" t="n">
        <x:f>Asumsi!$B$8</x:f>
        <x:v>0.1</x:v>
      </x:c>
      <x:c r="H132" s="84" t="n">
        <x:f>(D132-Asumsi!$B$6)/30.4375</x:f>
        <x:v>8.344969199178644</x:v>
      </x:c>
      <x:c r="I132" s="76" t="n">
        <x:f>Asumsi!$B$9</x:f>
        <x:v>0.05</x:v>
      </x:c>
      <x:c r="J132" s="76" t="n">
        <x:f>Asumsi!$B$10</x:f>
        <x:v>0</x:v>
      </x:c>
      <x:c r="K132" s="63" t="str">
        <x:f>IF(AND(F132&gt;=MEDIAN($F$132:$F$136)*Asumsi!$B$14,F132&lt;=MEDIAN($F$132:$F$136)*Asumsi!$B$15),"VALID","OUTLIER")</x:f>
        <x:v>VALID</x:v>
      </x:c>
      <x:c r="L132" s="85" t="n">
        <x:f>IF(COUNT(F132,G132,I132,J132)&lt;4,"",IF(K132="VALID",F132*(1-G132)/POWER(1+I132,H132/12)*(1+J132),""))</x:f>
        <x:v>9569733.800508264</x:v>
      </x:c>
      <x:c r="M132" s="63" t="str">
        <x:v>https://www.rumah123.com/jual/surabaya/tandes/tanah/</x:v>
      </x:c>
      <x:c r="N132" s="63" t="str">
        <x:v>PROKSI IKLAN</x:v>
      </x:c>
      <x:c r="O132" s="63" t="str">
        <x:v>Belum verifikasi transaksi, koordinat, hak, luas, dan duplikasi iklan.</x:v>
      </x:c>
      <x:c r="P132" s="64"/>
      <x:c r="Q132" s="64"/>
    </x:row>
    <x:row r="133">
      <x:c r="A133" s="63" t="str">
        <x:v>SBY-26-2</x:v>
      </x:c>
      <x:c r="B133" s="63" t="str">
        <x:v>Tandes</x:v>
      </x:c>
      <x:c r="C133" s="63" t="str">
        <x:v>ADM-Tandes</x:v>
      </x:c>
      <x:c r="D133" s="82" t="n">
        <x:v>46277</x:v>
      </x:c>
      <x:c r="E133" s="63" t="str">
        <x:v>Harga penawaran</x:v>
      </x:c>
      <x:c r="F133" s="83" t="n">
        <x:v>6000000</x:v>
      </x:c>
      <x:c r="G133" s="76" t="n">
        <x:f>Asumsi!$B$8</x:f>
        <x:v>0.1</x:v>
      </x:c>
      <x:c r="H133" s="84" t="n">
        <x:f>(D133-Asumsi!$B$6)/30.4375</x:f>
        <x:v>8.344969199178644</x:v>
      </x:c>
      <x:c r="I133" s="76" t="n">
        <x:f>Asumsi!$B$9</x:f>
        <x:v>0.05</x:v>
      </x:c>
      <x:c r="J133" s="76" t="n">
        <x:f>Asumsi!$B$10</x:f>
        <x:v>0</x:v>
      </x:c>
      <x:c r="K133" s="63" t="str">
        <x:f>IF(AND(F133&gt;=MEDIAN($F$132:$F$136)*Asumsi!$B$14,F133&lt;=MEDIAN($F$132:$F$136)*Asumsi!$B$15),"VALID","OUTLIER")</x:f>
        <x:v>VALID</x:v>
      </x:c>
      <x:c r="L133" s="85" t="n">
        <x:f>IF(COUNT(F133,G133,I133,J133)&lt;4,"",IF(K133="VALID",F133*(1-G133)/POWER(1+I133,H133/12)*(1+J133),""))</x:f>
        <x:v>5219854.800277235</x:v>
      </x:c>
      <x:c r="M133" s="63" t="str">
        <x:v>https://www.rumah123.com/jual/surabaya/tandes/tanah/</x:v>
      </x:c>
      <x:c r="N133" s="63" t="str">
        <x:v>PROKSI IKLAN</x:v>
      </x:c>
      <x:c r="O133" s="63" t="str">
        <x:v>Belum verifikasi transaksi, koordinat, hak, luas, dan duplikasi iklan.</x:v>
      </x:c>
      <x:c r="P133" s="64"/>
      <x:c r="Q133" s="64"/>
    </x:row>
    <x:row r="134">
      <x:c r="A134" s="63" t="str">
        <x:v>SBY-26-3</x:v>
      </x:c>
      <x:c r="B134" s="63" t="str">
        <x:v>Tandes</x:v>
      </x:c>
      <x:c r="C134" s="63" t="str">
        <x:v>ADM-Tandes</x:v>
      </x:c>
      <x:c r="D134" s="82" t="n">
        <x:v>46277</x:v>
      </x:c>
      <x:c r="E134" s="63" t="str">
        <x:v>Harga penawaran</x:v>
      </x:c>
      <x:c r="F134" s="83" t="n">
        <x:v>7000000</x:v>
      </x:c>
      <x:c r="G134" s="76" t="n">
        <x:f>Asumsi!$B$8</x:f>
        <x:v>0.1</x:v>
      </x:c>
      <x:c r="H134" s="84" t="n">
        <x:f>(D134-Asumsi!$B$6)/30.4375</x:f>
        <x:v>8.344969199178644</x:v>
      </x:c>
      <x:c r="I134" s="76" t="n">
        <x:f>Asumsi!$B$9</x:f>
        <x:v>0.05</x:v>
      </x:c>
      <x:c r="J134" s="76" t="n">
        <x:f>Asumsi!$B$10</x:f>
        <x:v>0</x:v>
      </x:c>
      <x:c r="K134" s="63" t="str">
        <x:f>IF(AND(F134&gt;=MEDIAN($F$132:$F$136)*Asumsi!$B$14,F134&lt;=MEDIAN($F$132:$F$136)*Asumsi!$B$15),"VALID","OUTLIER")</x:f>
        <x:v>VALID</x:v>
      </x:c>
      <x:c r="L134" s="85" t="n">
        <x:f>IF(COUNT(F134,G134,I134,J134)&lt;4,"",IF(K134="VALID",F134*(1-G134)/POWER(1+I134,H134/12)*(1+J134),""))</x:f>
        <x:v>6089830.6003234405</x:v>
      </x:c>
      <x:c r="M134" s="63" t="str">
        <x:v>https://www.rumah123.com/jual/surabaya/tandes/tanah/</x:v>
      </x:c>
      <x:c r="N134" s="63" t="str">
        <x:v>PROKSI IKLAN</x:v>
      </x:c>
      <x:c r="O134" s="63" t="str">
        <x:v>Belum verifikasi transaksi, koordinat, hak, luas, dan duplikasi iklan.</x:v>
      </x:c>
      <x:c r="P134" s="64"/>
      <x:c r="Q134" s="64"/>
    </x:row>
    <x:row r="135">
      <x:c r="A135" s="63" t="str">
        <x:v>SBY-26-4</x:v>
      </x:c>
      <x:c r="B135" s="63" t="str">
        <x:v>Tandes</x:v>
      </x:c>
      <x:c r="C135" s="63" t="str">
        <x:v>ADM-Tandes</x:v>
      </x:c>
      <x:c r="D135" s="82" t="n">
        <x:v>46277</x:v>
      </x:c>
      <x:c r="E135" s="63" t="str">
        <x:v>Harga penawaran</x:v>
      </x:c>
      <x:c r="F135" s="83" t="n">
        <x:v>10000000</x:v>
      </x:c>
      <x:c r="G135" s="76" t="n">
        <x:f>Asumsi!$B$8</x:f>
        <x:v>0.1</x:v>
      </x:c>
      <x:c r="H135" s="84" t="n">
        <x:f>(D135-Asumsi!$B$6)/30.4375</x:f>
        <x:v>8.344969199178644</x:v>
      </x:c>
      <x:c r="I135" s="76" t="n">
        <x:f>Asumsi!$B$9</x:f>
        <x:v>0.05</x:v>
      </x:c>
      <x:c r="J135" s="76" t="n">
        <x:f>Asumsi!$B$10</x:f>
        <x:v>0</x:v>
      </x:c>
      <x:c r="K135" s="63" t="str">
        <x:f>IF(AND(F135&gt;=MEDIAN($F$132:$F$136)*Asumsi!$B$14,F135&lt;=MEDIAN($F$132:$F$136)*Asumsi!$B$15),"VALID","OUTLIER")</x:f>
        <x:v>VALID</x:v>
      </x:c>
      <x:c r="L135" s="85" t="n">
        <x:f>IF(COUNT(F135,G135,I135,J135)&lt;4,"",IF(K135="VALID",F135*(1-G135)/POWER(1+I135,H135/12)*(1+J135),""))</x:f>
        <x:v>8699758.000462059</x:v>
      </x:c>
      <x:c r="M135" s="63" t="str">
        <x:v>https://www.rumah123.com/jual/surabaya/tandes/tanah/</x:v>
      </x:c>
      <x:c r="N135" s="63" t="str">
        <x:v>PROKSI IKLAN</x:v>
      </x:c>
      <x:c r="O135" s="63" t="str">
        <x:v>Belum verifikasi transaksi, koordinat, hak, luas, dan duplikasi iklan.</x:v>
      </x:c>
      <x:c r="P135" s="64"/>
      <x:c r="Q135" s="64"/>
    </x:row>
    <x:row r="136">
      <x:c r="A136" s="63" t="str">
        <x:v>SBY-26-5</x:v>
      </x:c>
      <x:c r="B136" s="63" t="str">
        <x:v>Tandes</x:v>
      </x:c>
      <x:c r="C136" s="63" t="str">
        <x:v>ADM-Tandes</x:v>
      </x:c>
      <x:c r="D136" s="82" t="n">
        <x:v>46277</x:v>
      </x:c>
      <x:c r="E136" s="63" t="str">
        <x:v>Harga penawaran</x:v>
      </x:c>
      <x:c r="F136" s="83" t="n">
        <x:v>8000000</x:v>
      </x:c>
      <x:c r="G136" s="76" t="n">
        <x:f>Asumsi!$B$8</x:f>
        <x:v>0.1</x:v>
      </x:c>
      <x:c r="H136" s="84" t="n">
        <x:f>(D136-Asumsi!$B$6)/30.4375</x:f>
        <x:v>8.344969199178644</x:v>
      </x:c>
      <x:c r="I136" s="76" t="n">
        <x:f>Asumsi!$B$9</x:f>
        <x:v>0.05</x:v>
      </x:c>
      <x:c r="J136" s="76" t="n">
        <x:f>Asumsi!$B$10</x:f>
        <x:v>0</x:v>
      </x:c>
      <x:c r="K136" s="63" t="str">
        <x:f>IF(AND(F136&gt;=MEDIAN($F$132:$F$136)*Asumsi!$B$14,F136&lt;=MEDIAN($F$132:$F$136)*Asumsi!$B$15),"VALID","OUTLIER")</x:f>
        <x:v>VALID</x:v>
      </x:c>
      <x:c r="L136" s="85" t="n">
        <x:f>IF(COUNT(F136,G136,I136,J136)&lt;4,"",IF(K136="VALID",F136*(1-G136)/POWER(1+I136,H136/12)*(1+J136),""))</x:f>
        <x:v>6959806.400369647</x:v>
      </x:c>
      <x:c r="M136" s="63" t="str">
        <x:v>https://www.rumah123.com/jual/surabaya/tandes/tanah/</x:v>
      </x:c>
      <x:c r="N136" s="63" t="str">
        <x:v>PROKSI IKLAN</x:v>
      </x:c>
      <x:c r="O136" s="63" t="str">
        <x:v>Belum verifikasi transaksi, koordinat, hak, luas, dan duplikasi iklan.</x:v>
      </x:c>
      <x:c r="P136" s="64"/>
      <x:c r="Q136" s="64"/>
    </x:row>
    <x:row r="137">
      <x:c r="A137" s="63" t="str">
        <x:v>SBY-27-1</x:v>
      </x:c>
      <x:c r="B137" s="63" t="str">
        <x:v>Tegalsari</x:v>
      </x:c>
      <x:c r="C137" s="63" t="str">
        <x:v>ADM-Tegalsari</x:v>
      </x:c>
      <x:c r="D137" s="82" t="n">
        <x:v>46277</x:v>
      </x:c>
      <x:c r="E137" s="63" t="str">
        <x:v>Harga penawaran</x:v>
      </x:c>
      <x:c r="F137" s="83" t="n">
        <x:v>26600000</x:v>
      </x:c>
      <x:c r="G137" s="76" t="n">
        <x:f>Asumsi!$B$8</x:f>
        <x:v>0.1</x:v>
      </x:c>
      <x:c r="H137" s="84" t="n">
        <x:f>(D137-Asumsi!$B$6)/30.4375</x:f>
        <x:v>8.344969199178644</x:v>
      </x:c>
      <x:c r="I137" s="76" t="n">
        <x:f>Asumsi!$B$9</x:f>
        <x:v>0.05</x:v>
      </x:c>
      <x:c r="J137" s="76" t="n">
        <x:f>Asumsi!$B$10</x:f>
        <x:v>0</x:v>
      </x:c>
      <x:c r="K137" s="63" t="str">
        <x:f>IF(AND(F137&gt;=MEDIAN($F$137:$F$141)*Asumsi!$B$14,F137&lt;=MEDIAN($F$137:$F$141)*Asumsi!$B$15),"VALID","OUTLIER")</x:f>
        <x:v>VALID</x:v>
      </x:c>
      <x:c r="L137" s="85" t="n">
        <x:f>IF(COUNT(F137,G137,I137,J137)&lt;4,"",IF(K137="VALID",F137*(1-G137)/POWER(1+I137,H137/12)*(1+J137),""))</x:f>
        <x:v>23141356.281229075</x:v>
      </x:c>
      <x:c r="M137" s="63" t="str">
        <x:v>https://www.rumah123.com/jual/surabaya/tegalsari/tanah/</x:v>
      </x:c>
      <x:c r="N137" s="63" t="str">
        <x:v>PROKSI IKLAN</x:v>
      </x:c>
      <x:c r="O137" s="63" t="str">
        <x:v>Belum verifikasi transaksi, koordinat, hak, luas, dan duplikasi iklan.</x:v>
      </x:c>
      <x:c r="P137" s="64"/>
      <x:c r="Q137" s="64"/>
    </x:row>
    <x:row r="138">
      <x:c r="A138" s="63" t="str">
        <x:v>SBY-27-2</x:v>
      </x:c>
      <x:c r="B138" s="63" t="str">
        <x:v>Tegalsari</x:v>
      </x:c>
      <x:c r="C138" s="63" t="str">
        <x:v>ADM-Tegalsari</x:v>
      </x:c>
      <x:c r="D138" s="82" t="n">
        <x:v>46277</x:v>
      </x:c>
      <x:c r="E138" s="63" t="str">
        <x:v>Harga penawaran</x:v>
      </x:c>
      <x:c r="F138" s="83" t="n">
        <x:v>21900000</x:v>
      </x:c>
      <x:c r="G138" s="76" t="n">
        <x:f>Asumsi!$B$8</x:f>
        <x:v>0.1</x:v>
      </x:c>
      <x:c r="H138" s="84" t="n">
        <x:f>(D138-Asumsi!$B$6)/30.4375</x:f>
        <x:v>8.344969199178644</x:v>
      </x:c>
      <x:c r="I138" s="76" t="n">
        <x:f>Asumsi!$B$9</x:f>
        <x:v>0.05</x:v>
      </x:c>
      <x:c r="J138" s="76" t="n">
        <x:f>Asumsi!$B$10</x:f>
        <x:v>0</x:v>
      </x:c>
      <x:c r="K138" s="63" t="str">
        <x:f>IF(AND(F138&gt;=MEDIAN($F$137:$F$141)*Asumsi!$B$14,F138&lt;=MEDIAN($F$137:$F$141)*Asumsi!$B$15),"VALID","OUTLIER")</x:f>
        <x:v>VALID</x:v>
      </x:c>
      <x:c r="L138" s="85" t="n">
        <x:f>IF(COUNT(F138,G138,I138,J138)&lt;4,"",IF(K138="VALID",F138*(1-G138)/POWER(1+I138,H138/12)*(1+J138),""))</x:f>
        <x:v>19052470.021011908</x:v>
      </x:c>
      <x:c r="M138" s="63" t="str">
        <x:v>https://www.rumah123.com/jual/surabaya/tegalsari/tanah/</x:v>
      </x:c>
      <x:c r="N138" s="63" t="str">
        <x:v>PROKSI IKLAN</x:v>
      </x:c>
      <x:c r="O138" s="63" t="str">
        <x:v>Belum verifikasi transaksi, koordinat, hak, luas, dan duplikasi iklan.</x:v>
      </x:c>
      <x:c r="P138" s="64"/>
      <x:c r="Q138" s="64"/>
    </x:row>
    <x:row r="139">
      <x:c r="A139" s="63" t="str">
        <x:v>SBY-27-3</x:v>
      </x:c>
      <x:c r="B139" s="63" t="str">
        <x:v>Tegalsari</x:v>
      </x:c>
      <x:c r="C139" s="63" t="str">
        <x:v>ADM-Tegalsari</x:v>
      </x:c>
      <x:c r="D139" s="82" t="n">
        <x:v>46277</x:v>
      </x:c>
      <x:c r="E139" s="63" t="str">
        <x:v>Harga penawaran</x:v>
      </x:c>
      <x:c r="F139" s="83" t="n">
        <x:v>39900000</x:v>
      </x:c>
      <x:c r="G139" s="76" t="n">
        <x:f>Asumsi!$B$8</x:f>
        <x:v>0.1</x:v>
      </x:c>
      <x:c r="H139" s="84" t="n">
        <x:f>(D139-Asumsi!$B$6)/30.4375</x:f>
        <x:v>8.344969199178644</x:v>
      </x:c>
      <x:c r="I139" s="76" t="n">
        <x:f>Asumsi!$B$9</x:f>
        <x:v>0.05</x:v>
      </x:c>
      <x:c r="J139" s="76" t="n">
        <x:f>Asumsi!$B$10</x:f>
        <x:v>0</x:v>
      </x:c>
      <x:c r="K139" s="63" t="str">
        <x:f>IF(AND(F139&gt;=MEDIAN($F$137:$F$141)*Asumsi!$B$14,F139&lt;=MEDIAN($F$137:$F$141)*Asumsi!$B$15),"VALID","OUTLIER")</x:f>
        <x:v>VALID</x:v>
      </x:c>
      <x:c r="L139" s="85" t="n">
        <x:f>IF(COUNT(F139,G139,I139,J139)&lt;4,"",IF(K139="VALID",F139*(1-G139)/POWER(1+I139,H139/12)*(1+J139),""))</x:f>
        <x:v>34712034.42184361</x:v>
      </x:c>
      <x:c r="M139" s="63" t="str">
        <x:v>https://www.rumah123.com/jual/surabaya/tegalsari/tanah/</x:v>
      </x:c>
      <x:c r="N139" s="63" t="str">
        <x:v>PROKSI IKLAN</x:v>
      </x:c>
      <x:c r="O139" s="63" t="str">
        <x:v>Belum verifikasi transaksi, koordinat, hak, luas, dan duplikasi iklan.</x:v>
      </x:c>
      <x:c r="P139" s="64"/>
      <x:c r="Q139" s="64"/>
    </x:row>
    <x:row r="140">
      <x:c r="A140" s="63" t="str">
        <x:v>SBY-27-4</x:v>
      </x:c>
      <x:c r="B140" s="63" t="str">
        <x:v>Tegalsari</x:v>
      </x:c>
      <x:c r="C140" s="63" t="str">
        <x:v>ADM-Tegalsari</x:v>
      </x:c>
      <x:c r="D140" s="82" t="n">
        <x:v>46277</x:v>
      </x:c>
      <x:c r="E140" s="63" t="str">
        <x:v>Harga penawaran</x:v>
      </x:c>
      <x:c r="F140" s="83" t="n">
        <x:v>31200000</x:v>
      </x:c>
      <x:c r="G140" s="76" t="n">
        <x:f>Asumsi!$B$8</x:f>
        <x:v>0.1</x:v>
      </x:c>
      <x:c r="H140" s="84" t="n">
        <x:f>(D140-Asumsi!$B$6)/30.4375</x:f>
        <x:v>8.344969199178644</x:v>
      </x:c>
      <x:c r="I140" s="76" t="n">
        <x:f>Asumsi!$B$9</x:f>
        <x:v>0.05</x:v>
      </x:c>
      <x:c r="J140" s="76" t="n">
        <x:f>Asumsi!$B$10</x:f>
        <x:v>0</x:v>
      </x:c>
      <x:c r="K140" s="63" t="str">
        <x:f>IF(AND(F140&gt;=MEDIAN($F$137:$F$141)*Asumsi!$B$14,F140&lt;=MEDIAN($F$137:$F$141)*Asumsi!$B$15),"VALID","OUTLIER")</x:f>
        <x:v>VALID</x:v>
      </x:c>
      <x:c r="L140" s="85" t="n">
        <x:f>IF(COUNT(F140,G140,I140,J140)&lt;4,"",IF(K140="VALID",F140*(1-G140)/POWER(1+I140,H140/12)*(1+J140),""))</x:f>
        <x:v>27143244.96144162</x:v>
      </x:c>
      <x:c r="M140" s="63" t="str">
        <x:v>https://www.rumah123.com/jual/surabaya/tegalsari/tanah/</x:v>
      </x:c>
      <x:c r="N140" s="63" t="str">
        <x:v>PROKSI IKLAN</x:v>
      </x:c>
      <x:c r="O140" s="63" t="str">
        <x:v>Belum verifikasi transaksi, koordinat, hak, luas, dan duplikasi iklan.</x:v>
      </x:c>
      <x:c r="P140" s="64"/>
      <x:c r="Q140" s="64"/>
    </x:row>
    <x:row r="141">
      <x:c r="A141" s="63" t="str">
        <x:v>SBY-27-5</x:v>
      </x:c>
      <x:c r="B141" s="63" t="str">
        <x:v>Tegalsari</x:v>
      </x:c>
      <x:c r="C141" s="63" t="str">
        <x:v>ADM-Tegalsari</x:v>
      </x:c>
      <x:c r="D141" s="82" t="n">
        <x:v>46277</x:v>
      </x:c>
      <x:c r="E141" s="63" t="str">
        <x:v>Harga penawaran</x:v>
      </x:c>
      <x:c r="F141" s="83" t="n">
        <x:v>26600000</x:v>
      </x:c>
      <x:c r="G141" s="76" t="n">
        <x:f>Asumsi!$B$8</x:f>
        <x:v>0.1</x:v>
      </x:c>
      <x:c r="H141" s="84" t="n">
        <x:f>(D141-Asumsi!$B$6)/30.4375</x:f>
        <x:v>8.344969199178644</x:v>
      </x:c>
      <x:c r="I141" s="76" t="n">
        <x:f>Asumsi!$B$9</x:f>
        <x:v>0.05</x:v>
      </x:c>
      <x:c r="J141" s="76" t="n">
        <x:f>Asumsi!$B$10</x:f>
        <x:v>0</x:v>
      </x:c>
      <x:c r="K141" s="63" t="str">
        <x:f>IF(AND(F141&gt;=MEDIAN($F$137:$F$141)*Asumsi!$B$14,F141&lt;=MEDIAN($F$137:$F$141)*Asumsi!$B$15),"VALID","OUTLIER")</x:f>
        <x:v>VALID</x:v>
      </x:c>
      <x:c r="L141" s="85" t="n">
        <x:f>IF(COUNT(F141,G141,I141,J141)&lt;4,"",IF(K141="VALID",F141*(1-G141)/POWER(1+I141,H141/12)*(1+J141),""))</x:f>
        <x:v>23141356.281229075</x:v>
      </x:c>
      <x:c r="M141" s="63" t="str">
        <x:v>https://www.rumah123.com/jual/surabaya/tegalsari/tanah/</x:v>
      </x:c>
      <x:c r="N141" s="63" t="str">
        <x:v>PROKSI IKLAN</x:v>
      </x:c>
      <x:c r="O141" s="63" t="str">
        <x:v>Belum verifikasi transaksi, koordinat, hak, luas, dan duplikasi iklan.</x:v>
      </x:c>
      <x:c r="P141" s="64"/>
      <x:c r="Q141" s="64"/>
    </x:row>
    <x:row r="142">
      <x:c r="A142" s="63" t="str">
        <x:v>SBY-28-1</x:v>
      </x:c>
      <x:c r="B142" s="63" t="str">
        <x:v>Tenggilis Mejoyo</x:v>
      </x:c>
      <x:c r="C142" s="63" t="str">
        <x:v>ADM-Tenggilis Mejoyo</x:v>
      </x:c>
      <x:c r="D142" s="82" t="n">
        <x:v>46277</x:v>
      </x:c>
      <x:c r="E142" s="63" t="str">
        <x:v>Harga penawaran</x:v>
      </x:c>
      <x:c r="F142" s="83" t="n">
        <x:v>9500000</x:v>
      </x:c>
      <x:c r="G142" s="76" t="n">
        <x:f>Asumsi!$B$8</x:f>
        <x:v>0.1</x:v>
      </x:c>
      <x:c r="H142" s="84" t="n">
        <x:f>(D142-Asumsi!$B$6)/30.4375</x:f>
        <x:v>8.344969199178644</x:v>
      </x:c>
      <x:c r="I142" s="76" t="n">
        <x:f>Asumsi!$B$9</x:f>
        <x:v>0.05</x:v>
      </x:c>
      <x:c r="J142" s="76" t="n">
        <x:f>Asumsi!$B$10</x:f>
        <x:v>0</x:v>
      </x:c>
      <x:c r="K142" s="63" t="str">
        <x:f>IF(AND(F142&gt;=MEDIAN($F$142:$F$146)*Asumsi!$B$14,F142&lt;=MEDIAN($F$142:$F$146)*Asumsi!$B$15),"VALID","OUTLIER")</x:f>
        <x:v>VALID</x:v>
      </x:c>
      <x:c r="L142" s="85" t="n">
        <x:f>IF(COUNT(F142,G142,I142,J142)&lt;4,"",IF(K142="VALID",F142*(1-G142)/POWER(1+I142,H142/12)*(1+J142),""))</x:f>
        <x:v>8264770.100438955</x:v>
      </x:c>
      <x:c r="M142" s="63" t="str">
        <x:v>https://www.rumah123.com/jual/surabaya/tenggilis-mejoyo/tanah/</x:v>
      </x:c>
      <x:c r="N142" s="63" t="str">
        <x:v>PROKSI IKLAN</x:v>
      </x:c>
      <x:c r="O142" s="63" t="str">
        <x:v>Belum verifikasi transaksi, koordinat, hak, luas, dan duplikasi iklan.</x:v>
      </x:c>
      <x:c r="P142" s="64"/>
      <x:c r="Q142" s="64"/>
    </x:row>
    <x:row r="143">
      <x:c r="A143" s="63" t="str">
        <x:v>SBY-28-2</x:v>
      </x:c>
      <x:c r="B143" s="63" t="str">
        <x:v>Tenggilis Mejoyo</x:v>
      </x:c>
      <x:c r="C143" s="63" t="str">
        <x:v>ADM-Tenggilis Mejoyo</x:v>
      </x:c>
      <x:c r="D143" s="82" t="n">
        <x:v>46277</x:v>
      </x:c>
      <x:c r="E143" s="63" t="str">
        <x:v>Harga penawaran</x:v>
      </x:c>
      <x:c r="F143" s="83" t="n">
        <x:v>8330000</x:v>
      </x:c>
      <x:c r="G143" s="76" t="n">
        <x:f>Asumsi!$B$8</x:f>
        <x:v>0.1</x:v>
      </x:c>
      <x:c r="H143" s="84" t="n">
        <x:f>(D143-Asumsi!$B$6)/30.4375</x:f>
        <x:v>8.344969199178644</x:v>
      </x:c>
      <x:c r="I143" s="76" t="n">
        <x:f>Asumsi!$B$9</x:f>
        <x:v>0.05</x:v>
      </x:c>
      <x:c r="J143" s="76" t="n">
        <x:f>Asumsi!$B$10</x:f>
        <x:v>0</x:v>
      </x:c>
      <x:c r="K143" s="63" t="str">
        <x:f>IF(AND(F143&gt;=MEDIAN($F$142:$F$146)*Asumsi!$B$14,F143&lt;=MEDIAN($F$142:$F$146)*Asumsi!$B$15),"VALID","OUTLIER")</x:f>
        <x:v>VALID</x:v>
      </x:c>
      <x:c r="L143" s="85" t="n">
        <x:f>IF(COUNT(F143,G143,I143,J143)&lt;4,"",IF(K143="VALID",F143*(1-G143)/POWER(1+I143,H143/12)*(1+J143),""))</x:f>
        <x:v>7246898.414384894</x:v>
      </x:c>
      <x:c r="M143" s="63" t="str">
        <x:v>https://www.rumah123.com/jual/surabaya/tenggilis-mejoyo/tanah/</x:v>
      </x:c>
      <x:c r="N143" s="63" t="str">
        <x:v>PROKSI IKLAN</x:v>
      </x:c>
      <x:c r="O143" s="63" t="str">
        <x:v>Belum verifikasi transaksi, koordinat, hak, luas, dan duplikasi iklan.</x:v>
      </x:c>
      <x:c r="P143" s="64"/>
      <x:c r="Q143" s="64"/>
    </x:row>
    <x:row r="144">
      <x:c r="A144" s="63" t="str">
        <x:v>SBY-28-3</x:v>
      </x:c>
      <x:c r="B144" s="63" t="str">
        <x:v>Tenggilis Mejoyo</x:v>
      </x:c>
      <x:c r="C144" s="63" t="str">
        <x:v>ADM-Tenggilis Mejoyo</x:v>
      </x:c>
      <x:c r="D144" s="82" t="n">
        <x:v>46277</x:v>
      </x:c>
      <x:c r="E144" s="63" t="str">
        <x:v>Harga penawaran</x:v>
      </x:c>
      <x:c r="F144" s="83" t="n">
        <x:v>9900000</x:v>
      </x:c>
      <x:c r="G144" s="76" t="n">
        <x:f>Asumsi!$B$8</x:f>
        <x:v>0.1</x:v>
      </x:c>
      <x:c r="H144" s="84" t="n">
        <x:f>(D144-Asumsi!$B$6)/30.4375</x:f>
        <x:v>8.344969199178644</x:v>
      </x:c>
      <x:c r="I144" s="76" t="n">
        <x:f>Asumsi!$B$9</x:f>
        <x:v>0.05</x:v>
      </x:c>
      <x:c r="J144" s="76" t="n">
        <x:f>Asumsi!$B$10</x:f>
        <x:v>0</x:v>
      </x:c>
      <x:c r="K144" s="63" t="str">
        <x:f>IF(AND(F144&gt;=MEDIAN($F$142:$F$146)*Asumsi!$B$14,F144&lt;=MEDIAN($F$142:$F$146)*Asumsi!$B$15),"VALID","OUTLIER")</x:f>
        <x:v>VALID</x:v>
      </x:c>
      <x:c r="L144" s="85" t="n">
        <x:f>IF(COUNT(F144,G144,I144,J144)&lt;4,"",IF(K144="VALID",F144*(1-G144)/POWER(1+I144,H144/12)*(1+J144),""))</x:f>
        <x:v>8612760.420457438</x:v>
      </x:c>
      <x:c r="M144" s="63" t="str">
        <x:v>https://www.rumah123.com/jual/surabaya/tenggilis-mejoyo/tanah/</x:v>
      </x:c>
      <x:c r="N144" s="63" t="str">
        <x:v>PROKSI IKLAN</x:v>
      </x:c>
      <x:c r="O144" s="63" t="str">
        <x:v>Belum verifikasi transaksi, koordinat, hak, luas, dan duplikasi iklan.</x:v>
      </x:c>
      <x:c r="P144" s="64"/>
      <x:c r="Q144" s="64"/>
    </x:row>
    <x:row r="145">
      <x:c r="A145" s="63" t="str">
        <x:v>SBY-28-4</x:v>
      </x:c>
      <x:c r="B145" s="63" t="str">
        <x:v>Tenggilis Mejoyo</x:v>
      </x:c>
      <x:c r="C145" s="63" t="str">
        <x:v>ADM-Tenggilis Mejoyo</x:v>
      </x:c>
      <x:c r="D145" s="82" t="n">
        <x:v>46277</x:v>
      </x:c>
      <x:c r="E145" s="63" t="str">
        <x:v>Harga penawaran</x:v>
      </x:c>
      <x:c r="F145" s="83" t="n">
        <x:v>19500000</x:v>
      </x:c>
      <x:c r="G145" s="76" t="n">
        <x:f>Asumsi!$B$8</x:f>
        <x:v>0.1</x:v>
      </x:c>
      <x:c r="H145" s="84" t="n">
        <x:f>(D145-Asumsi!$B$6)/30.4375</x:f>
        <x:v>8.344969199178644</x:v>
      </x:c>
      <x:c r="I145" s="76" t="n">
        <x:f>Asumsi!$B$9</x:f>
        <x:v>0.05</x:v>
      </x:c>
      <x:c r="J145" s="76" t="n">
        <x:f>Asumsi!$B$10</x:f>
        <x:v>0</x:v>
      </x:c>
      <x:c r="K145" s="63" t="str">
        <x:f>IF(AND(F145&gt;=MEDIAN($F$142:$F$146)*Asumsi!$B$14,F145&lt;=MEDIAN($F$142:$F$146)*Asumsi!$B$15),"VALID","OUTLIER")</x:f>
        <x:v>VALID</x:v>
      </x:c>
      <x:c r="L145" s="85" t="n">
        <x:f>IF(COUNT(F145,G145,I145,J145)&lt;4,"",IF(K145="VALID",F145*(1-G145)/POWER(1+I145,H145/12)*(1+J145),""))</x:f>
        <x:v>16964528.100901015</x:v>
      </x:c>
      <x:c r="M145" s="63" t="str">
        <x:v>https://www.rumah123.com/jual/surabaya/tenggilis-mejoyo/tanah/</x:v>
      </x:c>
      <x:c r="N145" s="63" t="str">
        <x:v>PROKSI IKLAN</x:v>
      </x:c>
      <x:c r="O145" s="63" t="str">
        <x:v>Belum verifikasi transaksi, koordinat, hak, luas, dan duplikasi iklan.</x:v>
      </x:c>
      <x:c r="P145" s="64"/>
      <x:c r="Q145" s="64"/>
    </x:row>
    <x:row r="146">
      <x:c r="A146" s="63" t="str">
        <x:v>SBY-28-5</x:v>
      </x:c>
      <x:c r="B146" s="63" t="str">
        <x:v>Tenggilis Mejoyo</x:v>
      </x:c>
      <x:c r="C146" s="63" t="str">
        <x:v>ADM-Tenggilis Mejoyo</x:v>
      </x:c>
      <x:c r="D146" s="82" t="n">
        <x:v>46277</x:v>
      </x:c>
      <x:c r="E146" s="63" t="str">
        <x:v>Harga penawaran</x:v>
      </x:c>
      <x:c r="F146" s="83" t="n">
        <x:v>8620000</x:v>
      </x:c>
      <x:c r="G146" s="76" t="n">
        <x:f>Asumsi!$B$8</x:f>
        <x:v>0.1</x:v>
      </x:c>
      <x:c r="H146" s="84" t="n">
        <x:f>(D146-Asumsi!$B$6)/30.4375</x:f>
        <x:v>8.344969199178644</x:v>
      </x:c>
      <x:c r="I146" s="76" t="n">
        <x:f>Asumsi!$B$9</x:f>
        <x:v>0.05</x:v>
      </x:c>
      <x:c r="J146" s="76" t="n">
        <x:f>Asumsi!$B$10</x:f>
        <x:v>0</x:v>
      </x:c>
      <x:c r="K146" s="63" t="str">
        <x:f>IF(AND(F146&gt;=MEDIAN($F$142:$F$146)*Asumsi!$B$14,F146&lt;=MEDIAN($F$142:$F$146)*Asumsi!$B$15),"VALID","OUTLIER")</x:f>
        <x:v>VALID</x:v>
      </x:c>
      <x:c r="L146" s="85" t="n">
        <x:f>IF(COUNT(F146,G146,I146,J146)&lt;4,"",IF(K146="VALID",F146*(1-G146)/POWER(1+I146,H146/12)*(1+J146),""))</x:f>
        <x:v>7499191.396398294</x:v>
      </x:c>
      <x:c r="M146" s="63" t="str">
        <x:v>https://www.rumah123.com/jual/surabaya/tenggilis-mejoyo/tanah/</x:v>
      </x:c>
      <x:c r="N146" s="63" t="str">
        <x:v>PROKSI IKLAN</x:v>
      </x:c>
      <x:c r="O146" s="63" t="str">
        <x:v>Belum verifikasi transaksi, koordinat, hak, luas, dan duplikasi iklan.</x:v>
      </x:c>
      <x:c r="P146" s="64"/>
      <x:c r="Q146" s="64"/>
    </x:row>
    <x:row r="147">
      <x:c r="A147" s="63" t="str">
        <x:v>SBY-29-1</x:v>
      </x:c>
      <x:c r="B147" s="63" t="str">
        <x:v>Wiyung</x:v>
      </x:c>
      <x:c r="C147" s="63" t="str">
        <x:v>ADM-Wiyung</x:v>
      </x:c>
      <x:c r="D147" s="82" t="n">
        <x:v>46277</x:v>
      </x:c>
      <x:c r="E147" s="63" t="str">
        <x:v>Harga penawaran</x:v>
      </x:c>
      <x:c r="F147" s="83" t="n">
        <x:v>15900000</x:v>
      </x:c>
      <x:c r="G147" s="76" t="n">
        <x:f>Asumsi!$B$8</x:f>
        <x:v>0.1</x:v>
      </x:c>
      <x:c r="H147" s="84" t="n">
        <x:f>(D147-Asumsi!$B$6)/30.4375</x:f>
        <x:v>8.344969199178644</x:v>
      </x:c>
      <x:c r="I147" s="76" t="n">
        <x:f>Asumsi!$B$9</x:f>
        <x:v>0.05</x:v>
      </x:c>
      <x:c r="J147" s="76" t="n">
        <x:f>Asumsi!$B$10</x:f>
        <x:v>0</x:v>
      </x:c>
      <x:c r="K147" s="63" t="str">
        <x:f>IF(AND(F147&gt;=MEDIAN($F$147:$F$151)*Asumsi!$B$14,F147&lt;=MEDIAN($F$147:$F$151)*Asumsi!$B$15),"VALID","OUTLIER")</x:f>
        <x:v>VALID</x:v>
      </x:c>
      <x:c r="L147" s="85" t="n">
        <x:f>IF(COUNT(F147,G147,I147,J147)&lt;4,"",IF(K147="VALID",F147*(1-G147)/POWER(1+I147,H147/12)*(1+J147),""))</x:f>
        <x:v>13832615.220734673</x:v>
      </x:c>
      <x:c r="M147" s="63" t="str">
        <x:v>https://www.rumah123.com/jual/surabaya/wiyung/tanah/</x:v>
      </x:c>
      <x:c r="N147" s="63" t="str">
        <x:v>PROKSI IKLAN</x:v>
      </x:c>
      <x:c r="O147" s="63" t="str">
        <x:v>Belum verifikasi transaksi, koordinat, hak, luas, dan duplikasi iklan.</x:v>
      </x:c>
      <x:c r="P147" s="64"/>
      <x:c r="Q147" s="64"/>
    </x:row>
    <x:row r="148">
      <x:c r="A148" s="63" t="str">
        <x:v>SBY-29-2</x:v>
      </x:c>
      <x:c r="B148" s="63" t="str">
        <x:v>Wiyung</x:v>
      </x:c>
      <x:c r="C148" s="63" t="str">
        <x:v>ADM-Wiyung</x:v>
      </x:c>
      <x:c r="D148" s="82" t="n">
        <x:v>46277</x:v>
      </x:c>
      <x:c r="E148" s="63" t="str">
        <x:v>Harga penawaran</x:v>
      </x:c>
      <x:c r="F148" s="83" t="n">
        <x:v>11900000</x:v>
      </x:c>
      <x:c r="G148" s="76" t="n">
        <x:f>Asumsi!$B$8</x:f>
        <x:v>0.1</x:v>
      </x:c>
      <x:c r="H148" s="84" t="n">
        <x:f>(D148-Asumsi!$B$6)/30.4375</x:f>
        <x:v>8.344969199178644</x:v>
      </x:c>
      <x:c r="I148" s="76" t="n">
        <x:f>Asumsi!$B$9</x:f>
        <x:v>0.05</x:v>
      </x:c>
      <x:c r="J148" s="76" t="n">
        <x:f>Asumsi!$B$10</x:f>
        <x:v>0</x:v>
      </x:c>
      <x:c r="K148" s="63" t="str">
        <x:f>IF(AND(F148&gt;=MEDIAN($F$147:$F$151)*Asumsi!$B$14,F148&lt;=MEDIAN($F$147:$F$151)*Asumsi!$B$15),"VALID","OUTLIER")</x:f>
        <x:v>VALID</x:v>
      </x:c>
      <x:c r="L148" s="85" t="n">
        <x:f>IF(COUNT(F148,G148,I148,J148)&lt;4,"",IF(K148="VALID",F148*(1-G148)/POWER(1+I148,H148/12)*(1+J148),""))</x:f>
        <x:v>10352712.020549849</x:v>
      </x:c>
      <x:c r="M148" s="63" t="str">
        <x:v>https://www.rumah123.com/jual/surabaya/wiyung/tanah/</x:v>
      </x:c>
      <x:c r="N148" s="63" t="str">
        <x:v>PROKSI IKLAN</x:v>
      </x:c>
      <x:c r="O148" s="63" t="str">
        <x:v>Belum verifikasi transaksi, koordinat, hak, luas, dan duplikasi iklan.</x:v>
      </x:c>
      <x:c r="P148" s="64"/>
      <x:c r="Q148" s="64"/>
    </x:row>
    <x:row r="149">
      <x:c r="A149" s="63" t="str">
        <x:v>SBY-29-3</x:v>
      </x:c>
      <x:c r="B149" s="63" t="str">
        <x:v>Wiyung</x:v>
      </x:c>
      <x:c r="C149" s="63" t="str">
        <x:v>ADM-Wiyung</x:v>
      </x:c>
      <x:c r="D149" s="82" t="n">
        <x:v>46277</x:v>
      </x:c>
      <x:c r="E149" s="63" t="str">
        <x:v>Harga penawaran</x:v>
      </x:c>
      <x:c r="F149" s="83" t="n">
        <x:v>23500000</x:v>
      </x:c>
      <x:c r="G149" s="76" t="n">
        <x:f>Asumsi!$B$8</x:f>
        <x:v>0.1</x:v>
      </x:c>
      <x:c r="H149" s="84" t="n">
        <x:f>(D149-Asumsi!$B$6)/30.4375</x:f>
        <x:v>8.344969199178644</x:v>
      </x:c>
      <x:c r="I149" s="76" t="n">
        <x:f>Asumsi!$B$9</x:f>
        <x:v>0.05</x:v>
      </x:c>
      <x:c r="J149" s="76" t="n">
        <x:f>Asumsi!$B$10</x:f>
        <x:v>0</x:v>
      </x:c>
      <x:c r="K149" s="63" t="str">
        <x:f>IF(AND(F149&gt;=MEDIAN($F$147:$F$151)*Asumsi!$B$14,F149&lt;=MEDIAN($F$147:$F$151)*Asumsi!$B$15),"VALID","OUTLIER")</x:f>
        <x:v>VALID</x:v>
      </x:c>
      <x:c r="L149" s="85" t="n">
        <x:f>IF(COUNT(F149,G149,I149,J149)&lt;4,"",IF(K149="VALID",F149*(1-G149)/POWER(1+I149,H149/12)*(1+J149),""))</x:f>
        <x:v>20444431.301085837</x:v>
      </x:c>
      <x:c r="M149" s="63" t="str">
        <x:v>https://www.rumah123.com/jual/surabaya/wiyung/tanah/</x:v>
      </x:c>
      <x:c r="N149" s="63" t="str">
        <x:v>PROKSI IKLAN</x:v>
      </x:c>
      <x:c r="O149" s="63" t="str">
        <x:v>Belum verifikasi transaksi, koordinat, hak, luas, dan duplikasi iklan.</x:v>
      </x:c>
      <x:c r="P149" s="64"/>
      <x:c r="Q149" s="64"/>
    </x:row>
    <x:row r="150">
      <x:c r="A150" s="63" t="str">
        <x:v>SBY-29-4</x:v>
      </x:c>
      <x:c r="B150" s="63" t="str">
        <x:v>Wiyung</x:v>
      </x:c>
      <x:c r="C150" s="63" t="str">
        <x:v>ADM-Wiyung</x:v>
      </x:c>
      <x:c r="D150" s="82" t="n">
        <x:v>46277</x:v>
      </x:c>
      <x:c r="E150" s="63" t="str">
        <x:v>Harga penawaran</x:v>
      </x:c>
      <x:c r="F150" s="83" t="n">
        <x:v>22000000</x:v>
      </x:c>
      <x:c r="G150" s="76" t="n">
        <x:f>Asumsi!$B$8</x:f>
        <x:v>0.1</x:v>
      </x:c>
      <x:c r="H150" s="84" t="n">
        <x:f>(D150-Asumsi!$B$6)/30.4375</x:f>
        <x:v>8.344969199178644</x:v>
      </x:c>
      <x:c r="I150" s="76" t="n">
        <x:f>Asumsi!$B$9</x:f>
        <x:v>0.05</x:v>
      </x:c>
      <x:c r="J150" s="76" t="n">
        <x:f>Asumsi!$B$10</x:f>
        <x:v>0</x:v>
      </x:c>
      <x:c r="K150" s="63" t="str">
        <x:f>IF(AND(F150&gt;=MEDIAN($F$147:$F$151)*Asumsi!$B$14,F150&lt;=MEDIAN($F$147:$F$151)*Asumsi!$B$15),"VALID","OUTLIER")</x:f>
        <x:v>VALID</x:v>
      </x:c>
      <x:c r="L150" s="85" t="n">
        <x:f>IF(COUNT(F150,G150,I150,J150)&lt;4,"",IF(K150="VALID",F150*(1-G150)/POWER(1+I150,H150/12)*(1+J150),""))</x:f>
        <x:v>19139467.60101653</x:v>
      </x:c>
      <x:c r="M150" s="63" t="str">
        <x:v>https://www.rumah123.com/jual/surabaya/wiyung/tanah/</x:v>
      </x:c>
      <x:c r="N150" s="63" t="str">
        <x:v>PROKSI IKLAN</x:v>
      </x:c>
      <x:c r="O150" s="63" t="str">
        <x:v>Belum verifikasi transaksi, koordinat, hak, luas, dan duplikasi iklan.</x:v>
      </x:c>
      <x:c r="P150" s="64"/>
      <x:c r="Q150" s="64"/>
    </x:row>
    <x:row r="151">
      <x:c r="A151" s="63" t="str">
        <x:v>SBY-29-5</x:v>
      </x:c>
      <x:c r="B151" s="63" t="str">
        <x:v>Wiyung</x:v>
      </x:c>
      <x:c r="C151" s="63" t="str">
        <x:v>ADM-Wiyung</x:v>
      </x:c>
      <x:c r="D151" s="82" t="n">
        <x:v>46277</x:v>
      </x:c>
      <x:c r="E151" s="63" t="str">
        <x:v>Harga penawaran</x:v>
      </x:c>
      <x:c r="F151" s="83" t="n">
        <x:v>1000000</x:v>
      </x:c>
      <x:c r="G151" s="76" t="n">
        <x:f>Asumsi!$B$8</x:f>
        <x:v>0.1</x:v>
      </x:c>
      <x:c r="H151" s="84" t="n">
        <x:f>(D151-Asumsi!$B$6)/30.4375</x:f>
        <x:v>8.344969199178644</x:v>
      </x:c>
      <x:c r="I151" s="76" t="n">
        <x:f>Asumsi!$B$9</x:f>
        <x:v>0.05</x:v>
      </x:c>
      <x:c r="J151" s="76" t="n">
        <x:f>Asumsi!$B$10</x:f>
        <x:v>0</x:v>
      </x:c>
      <x:c r="K151" s="63" t="str">
        <x:f>IF(AND(F151&gt;=MEDIAN($F$147:$F$151)*Asumsi!$B$14,F151&lt;=MEDIAN($F$147:$F$151)*Asumsi!$B$15),"VALID","OUTLIER")</x:f>
        <x:v>OUTLIER</x:v>
      </x:c>
      <x:c r="L151" s="85" t="str">
        <x:f>IF(COUNT(F151,G151,I151,J151)&lt;4,"",IF(K151="VALID",F151*(1-G151)/POWER(1+I151,H151/12)*(1+J151),""))</x:f>
      </x:c>
      <x:c r="M151" s="63" t="str">
        <x:v>https://www.rumah123.com/jual/surabaya/wiyung/tanah/</x:v>
      </x:c>
      <x:c r="N151" s="63" t="str">
        <x:v>PROKSI IKLAN</x:v>
      </x:c>
      <x:c r="O151" s="63" t="str">
        <x:v>Belum verifikasi transaksi, koordinat, hak, luas, dan duplikasi iklan.</x:v>
      </x:c>
      <x:c r="P151" s="64"/>
      <x:c r="Q151" s="64"/>
    </x:row>
    <x:row r="152">
      <x:c r="A152" s="63" t="str">
        <x:v>SBY-30-1</x:v>
      </x:c>
      <x:c r="B152" s="63" t="str">
        <x:v>Wonocolo</x:v>
      </x:c>
      <x:c r="C152" s="63" t="str">
        <x:v>ADM-Wonocolo</x:v>
      </x:c>
      <x:c r="D152" s="82" t="n">
        <x:v>46277</x:v>
      </x:c>
      <x:c r="E152" s="63" t="str">
        <x:v>Harga penawaran</x:v>
      </x:c>
      <x:c r="F152" s="83" t="n">
        <x:v>6500000</x:v>
      </x:c>
      <x:c r="G152" s="76" t="n">
        <x:f>Asumsi!$B$8</x:f>
        <x:v>0.1</x:v>
      </x:c>
      <x:c r="H152" s="84" t="n">
        <x:f>(D152-Asumsi!$B$6)/30.4375</x:f>
        <x:v>8.344969199178644</x:v>
      </x:c>
      <x:c r="I152" s="76" t="n">
        <x:f>Asumsi!$B$9</x:f>
        <x:v>0.05</x:v>
      </x:c>
      <x:c r="J152" s="76" t="n">
        <x:f>Asumsi!$B$10</x:f>
        <x:v>0</x:v>
      </x:c>
      <x:c r="K152" s="63" t="str">
        <x:f>IF(AND(F152&gt;=MEDIAN($F$152:$F$156)*Asumsi!$B$14,F152&lt;=MEDIAN($F$152:$F$156)*Asumsi!$B$15),"VALID","OUTLIER")</x:f>
        <x:v>VALID</x:v>
      </x:c>
      <x:c r="L152" s="85" t="n">
        <x:f>IF(COUNT(F152,G152,I152,J152)&lt;4,"",IF(K152="VALID",F152*(1-G152)/POWER(1+I152,H152/12)*(1+J152),""))</x:f>
        <x:v>5654842.700300338</x:v>
      </x:c>
      <x:c r="M152" s="63" t="str">
        <x:v>https://www.rumah123.com/jual/surabaya/wonocolo/tanah/</x:v>
      </x:c>
      <x:c r="N152" s="63" t="str">
        <x:v>PROKSI IKLAN</x:v>
      </x:c>
      <x:c r="O152" s="63" t="str">
        <x:v>Belum verifikasi transaksi, koordinat, hak, luas, dan duplikasi iklan.</x:v>
      </x:c>
      <x:c r="P152" s="64"/>
      <x:c r="Q152" s="64"/>
    </x:row>
    <x:row r="153">
      <x:c r="A153" s="63" t="str">
        <x:v>SBY-30-2</x:v>
      </x:c>
      <x:c r="B153" s="63" t="str">
        <x:v>Wonocolo</x:v>
      </x:c>
      <x:c r="C153" s="63" t="str">
        <x:v>ADM-Wonocolo</x:v>
      </x:c>
      <x:c r="D153" s="82" t="n">
        <x:v>46277</x:v>
      </x:c>
      <x:c r="E153" s="63" t="str">
        <x:v>Harga penawaran</x:v>
      </x:c>
      <x:c r="F153" s="83" t="n">
        <x:v>8000000</x:v>
      </x:c>
      <x:c r="G153" s="76" t="n">
        <x:f>Asumsi!$B$8</x:f>
        <x:v>0.1</x:v>
      </x:c>
      <x:c r="H153" s="84" t="n">
        <x:f>(D153-Asumsi!$B$6)/30.4375</x:f>
        <x:v>8.344969199178644</x:v>
      </x:c>
      <x:c r="I153" s="76" t="n">
        <x:f>Asumsi!$B$9</x:f>
        <x:v>0.05</x:v>
      </x:c>
      <x:c r="J153" s="76" t="n">
        <x:f>Asumsi!$B$10</x:f>
        <x:v>0</x:v>
      </x:c>
      <x:c r="K153" s="63" t="str">
        <x:f>IF(AND(F153&gt;=MEDIAN($F$152:$F$156)*Asumsi!$B$14,F153&lt;=MEDIAN($F$152:$F$156)*Asumsi!$B$15),"VALID","OUTLIER")</x:f>
        <x:v>VALID</x:v>
      </x:c>
      <x:c r="L153" s="85" t="n">
        <x:f>IF(COUNT(F153,G153,I153,J153)&lt;4,"",IF(K153="VALID",F153*(1-G153)/POWER(1+I153,H153/12)*(1+J153),""))</x:f>
        <x:v>6959806.400369647</x:v>
      </x:c>
      <x:c r="M153" s="63" t="str">
        <x:v>https://www.rumah123.com/jual/surabaya/wonocolo/tanah/</x:v>
      </x:c>
      <x:c r="N153" s="63" t="str">
        <x:v>PROKSI IKLAN</x:v>
      </x:c>
      <x:c r="O153" s="63" t="str">
        <x:v>Belum verifikasi transaksi, koordinat, hak, luas, dan duplikasi iklan.</x:v>
      </x:c>
      <x:c r="P153" s="64"/>
      <x:c r="Q153" s="64"/>
    </x:row>
    <x:row r="154">
      <x:c r="A154" s="63" t="str">
        <x:v>SBY-30-3</x:v>
      </x:c>
      <x:c r="B154" s="63" t="str">
        <x:v>Wonocolo</x:v>
      </x:c>
      <x:c r="C154" s="63" t="str">
        <x:v>ADM-Wonocolo</x:v>
      </x:c>
      <x:c r="D154" s="82" t="n">
        <x:v>46277</x:v>
      </x:c>
      <x:c r="E154" s="63" t="str">
        <x:v>Harga penawaran</x:v>
      </x:c>
      <x:c r="F154" s="83" t="n">
        <x:v>12300000</x:v>
      </x:c>
      <x:c r="G154" s="76" t="n">
        <x:f>Asumsi!$B$8</x:f>
        <x:v>0.1</x:v>
      </x:c>
      <x:c r="H154" s="84" t="n">
        <x:f>(D154-Asumsi!$B$6)/30.4375</x:f>
        <x:v>8.344969199178644</x:v>
      </x:c>
      <x:c r="I154" s="76" t="n">
        <x:f>Asumsi!$B$9</x:f>
        <x:v>0.05</x:v>
      </x:c>
      <x:c r="J154" s="76" t="n">
        <x:f>Asumsi!$B$10</x:f>
        <x:v>0</x:v>
      </x:c>
      <x:c r="K154" s="63" t="str">
        <x:f>IF(AND(F154&gt;=MEDIAN($F$152:$F$156)*Asumsi!$B$14,F154&lt;=MEDIAN($F$152:$F$156)*Asumsi!$B$15),"VALID","OUTLIER")</x:f>
        <x:v>VALID</x:v>
      </x:c>
      <x:c r="L154" s="85" t="n">
        <x:f>IF(COUNT(F154,G154,I154,J154)&lt;4,"",IF(K154="VALID",F154*(1-G154)/POWER(1+I154,H154/12)*(1+J154),""))</x:f>
        <x:v>10700702.340568332</x:v>
      </x:c>
      <x:c r="M154" s="63" t="str">
        <x:v>https://www.rumah123.com/jual/surabaya/wonocolo/tanah/</x:v>
      </x:c>
      <x:c r="N154" s="63" t="str">
        <x:v>PROKSI IKLAN</x:v>
      </x:c>
      <x:c r="O154" s="63" t="str">
        <x:v>Belum verifikasi transaksi, koordinat, hak, luas, dan duplikasi iklan.</x:v>
      </x:c>
      <x:c r="P154" s="64"/>
      <x:c r="Q154" s="64"/>
    </x:row>
    <x:row r="155">
      <x:c r="A155" s="63" t="str">
        <x:v>SBY-30-4</x:v>
      </x:c>
      <x:c r="B155" s="63" t="str">
        <x:v>Wonocolo</x:v>
      </x:c>
      <x:c r="C155" s="63" t="str">
        <x:v>ADM-Wonocolo</x:v>
      </x:c>
      <x:c r="D155" s="82" t="n">
        <x:v>46277</x:v>
      </x:c>
      <x:c r="E155" s="63" t="str">
        <x:v>Harga penawaran</x:v>
      </x:c>
      <x:c r="F155" s="83" t="n">
        <x:v>12500000</x:v>
      </x:c>
      <x:c r="G155" s="76" t="n">
        <x:f>Asumsi!$B$8</x:f>
        <x:v>0.1</x:v>
      </x:c>
      <x:c r="H155" s="84" t="n">
        <x:f>(D155-Asumsi!$B$6)/30.4375</x:f>
        <x:v>8.344969199178644</x:v>
      </x:c>
      <x:c r="I155" s="76" t="n">
        <x:f>Asumsi!$B$9</x:f>
        <x:v>0.05</x:v>
      </x:c>
      <x:c r="J155" s="76" t="n">
        <x:f>Asumsi!$B$10</x:f>
        <x:v>0</x:v>
      </x:c>
      <x:c r="K155" s="63" t="str">
        <x:f>IF(AND(F155&gt;=MEDIAN($F$152:$F$156)*Asumsi!$B$14,F155&lt;=MEDIAN($F$152:$F$156)*Asumsi!$B$15),"VALID","OUTLIER")</x:f>
        <x:v>VALID</x:v>
      </x:c>
      <x:c r="L155" s="85" t="n">
        <x:f>IF(COUNT(F155,G155,I155,J155)&lt;4,"",IF(K155="VALID",F155*(1-G155)/POWER(1+I155,H155/12)*(1+J155),""))</x:f>
        <x:v>10874697.500577573</x:v>
      </x:c>
      <x:c r="M155" s="63" t="str">
        <x:v>https://www.rumah123.com/jual/surabaya/wonocolo/tanah/</x:v>
      </x:c>
      <x:c r="N155" s="63" t="str">
        <x:v>PROKSI IKLAN</x:v>
      </x:c>
      <x:c r="O155" s="63" t="str">
        <x:v>Belum verifikasi transaksi, koordinat, hak, luas, dan duplikasi iklan.</x:v>
      </x:c>
      <x:c r="P155" s="64"/>
      <x:c r="Q155" s="64"/>
    </x:row>
    <x:row r="156">
      <x:c r="A156" s="63" t="str">
        <x:v>SBY-30-5</x:v>
      </x:c>
      <x:c r="B156" s="63" t="str">
        <x:v>Wonocolo</x:v>
      </x:c>
      <x:c r="C156" s="63" t="str">
        <x:v>ADM-Wonocolo</x:v>
      </x:c>
      <x:c r="D156" s="82" t="n">
        <x:v>46277</x:v>
      </x:c>
      <x:c r="E156" s="63" t="str">
        <x:v>Harga penawaran</x:v>
      </x:c>
      <x:c r="F156" s="83" t="n">
        <x:v>12000000</x:v>
      </x:c>
      <x:c r="G156" s="76" t="n">
        <x:f>Asumsi!$B$8</x:f>
        <x:v>0.1</x:v>
      </x:c>
      <x:c r="H156" s="84" t="n">
        <x:f>(D156-Asumsi!$B$6)/30.4375</x:f>
        <x:v>8.344969199178644</x:v>
      </x:c>
      <x:c r="I156" s="76" t="n">
        <x:f>Asumsi!$B$9</x:f>
        <x:v>0.05</x:v>
      </x:c>
      <x:c r="J156" s="76" t="n">
        <x:f>Asumsi!$B$10</x:f>
        <x:v>0</x:v>
      </x:c>
      <x:c r="K156" s="63" t="str">
        <x:f>IF(AND(F156&gt;=MEDIAN($F$152:$F$156)*Asumsi!$B$14,F156&lt;=MEDIAN($F$152:$F$156)*Asumsi!$B$15),"VALID","OUTLIER")</x:f>
        <x:v>VALID</x:v>
      </x:c>
      <x:c r="L156" s="85" t="n">
        <x:f>IF(COUNT(F156,G156,I156,J156)&lt;4,"",IF(K156="VALID",F156*(1-G156)/POWER(1+I156,H156/12)*(1+J156),""))</x:f>
        <x:v>10439709.60055447</x:v>
      </x:c>
      <x:c r="M156" s="63" t="str">
        <x:v>https://www.rumah123.com/jual/surabaya/wonocolo/tanah/</x:v>
      </x:c>
      <x:c r="N156" s="63" t="str">
        <x:v>PROKSI IKLAN</x:v>
      </x:c>
      <x:c r="O156" s="63" t="str">
        <x:v>Belum verifikasi transaksi, koordinat, hak, luas, dan duplikasi iklan.</x:v>
      </x:c>
      <x:c r="P156" s="64"/>
      <x:c r="Q156" s="64"/>
    </x:row>
    <x:row r="157">
      <x:c r="A157" s="63" t="str">
        <x:v>SBY-31-1</x:v>
      </x:c>
      <x:c r="B157" s="63" t="str">
        <x:v>Wonokromo</x:v>
      </x:c>
      <x:c r="C157" s="63" t="str">
        <x:v>ADM-Wonokromo</x:v>
      </x:c>
      <x:c r="D157" s="82" t="n">
        <x:v>46277</x:v>
      </x:c>
      <x:c r="E157" s="63" t="str">
        <x:v>Harga penawaran</x:v>
      </x:c>
      <x:c r="F157" s="83" t="n">
        <x:v>3650000</x:v>
      </x:c>
      <x:c r="G157" s="76" t="n">
        <x:f>Asumsi!$B$8</x:f>
        <x:v>0.1</x:v>
      </x:c>
      <x:c r="H157" s="84" t="n">
        <x:f>(D157-Asumsi!$B$6)/30.4375</x:f>
        <x:v>8.344969199178644</x:v>
      </x:c>
      <x:c r="I157" s="76" t="n">
        <x:f>Asumsi!$B$9</x:f>
        <x:v>0.05</x:v>
      </x:c>
      <x:c r="J157" s="76" t="n">
        <x:f>Asumsi!$B$10</x:f>
        <x:v>0</x:v>
      </x:c>
      <x:c r="K157" s="63" t="str">
        <x:f>IF(AND(F157&gt;=MEDIAN($F$157:$F$161)*Asumsi!$B$14,F157&lt;=MEDIAN($F$157:$F$161)*Asumsi!$B$15),"VALID","OUTLIER")</x:f>
        <x:v>OUTLIER</x:v>
      </x:c>
      <x:c r="L157" s="85" t="str">
        <x:f>IF(COUNT(F157,G157,I157,J157)&lt;4,"",IF(K157="VALID",F157*(1-G157)/POWER(1+I157,H157/12)*(1+J157),""))</x:f>
      </x:c>
      <x:c r="M157" s="63" t="str">
        <x:v>https://www.rumah123.com/jual/surabaya/wonokromo/tanah/</x:v>
      </x:c>
      <x:c r="N157" s="63" t="str">
        <x:v>PROKSI IKLAN</x:v>
      </x:c>
      <x:c r="O157" s="63" t="str">
        <x:v>Belum verifikasi transaksi, koordinat, hak, luas, dan duplikasi iklan.</x:v>
      </x:c>
      <x:c r="P157" s="64"/>
      <x:c r="Q157" s="64"/>
    </x:row>
    <x:row r="158">
      <x:c r="A158" s="63" t="str">
        <x:v>SBY-31-2</x:v>
      </x:c>
      <x:c r="B158" s="63" t="str">
        <x:v>Wonokromo</x:v>
      </x:c>
      <x:c r="C158" s="63" t="str">
        <x:v>ADM-Wonokromo</x:v>
      </x:c>
      <x:c r="D158" s="82" t="n">
        <x:v>46277</x:v>
      </x:c>
      <x:c r="E158" s="63" t="str">
        <x:v>Harga penawaran</x:v>
      </x:c>
      <x:c r="F158" s="83" t="n">
        <x:v>17000000</x:v>
      </x:c>
      <x:c r="G158" s="76" t="n">
        <x:f>Asumsi!$B$8</x:f>
        <x:v>0.1</x:v>
      </x:c>
      <x:c r="H158" s="84" t="n">
        <x:f>(D158-Asumsi!$B$6)/30.4375</x:f>
        <x:v>8.344969199178644</x:v>
      </x:c>
      <x:c r="I158" s="76" t="n">
        <x:f>Asumsi!$B$9</x:f>
        <x:v>0.05</x:v>
      </x:c>
      <x:c r="J158" s="76" t="n">
        <x:f>Asumsi!$B$10</x:f>
        <x:v>0</x:v>
      </x:c>
      <x:c r="K158" s="63" t="str">
        <x:f>IF(AND(F158&gt;=MEDIAN($F$157:$F$161)*Asumsi!$B$14,F158&lt;=MEDIAN($F$157:$F$161)*Asumsi!$B$15),"VALID","OUTLIER")</x:f>
        <x:v>VALID</x:v>
      </x:c>
      <x:c r="L158" s="85" t="n">
        <x:f>IF(COUNT(F158,G158,I158,J158)&lt;4,"",IF(K158="VALID",F158*(1-G158)/POWER(1+I158,H158/12)*(1+J158),""))</x:f>
        <x:v>14789588.6007855</x:v>
      </x:c>
      <x:c r="M158" s="63" t="str">
        <x:v>https://www.rumah123.com/jual/surabaya/wonokromo/tanah/</x:v>
      </x:c>
      <x:c r="N158" s="63" t="str">
        <x:v>PROKSI IKLAN</x:v>
      </x:c>
      <x:c r="O158" s="63" t="str">
        <x:v>Belum verifikasi transaksi, koordinat, hak, luas, dan duplikasi iklan.</x:v>
      </x:c>
      <x:c r="P158" s="64"/>
      <x:c r="Q158" s="64"/>
    </x:row>
    <x:row r="159">
      <x:c r="A159" s="63" t="str">
        <x:v>SBY-31-3</x:v>
      </x:c>
      <x:c r="B159" s="63" t="str">
        <x:v>Wonokromo</x:v>
      </x:c>
      <x:c r="C159" s="63" t="str">
        <x:v>ADM-Wonokromo</x:v>
      </x:c>
      <x:c r="D159" s="82" t="n">
        <x:v>46277</x:v>
      </x:c>
      <x:c r="E159" s="63" t="str">
        <x:v>Harga penawaran</x:v>
      </x:c>
      <x:c r="F159" s="83" t="n">
        <x:v>16600000</x:v>
      </x:c>
      <x:c r="G159" s="76" t="n">
        <x:f>Asumsi!$B$8</x:f>
        <x:v>0.1</x:v>
      </x:c>
      <x:c r="H159" s="84" t="n">
        <x:f>(D159-Asumsi!$B$6)/30.4375</x:f>
        <x:v>8.344969199178644</x:v>
      </x:c>
      <x:c r="I159" s="76" t="n">
        <x:f>Asumsi!$B$9</x:f>
        <x:v>0.05</x:v>
      </x:c>
      <x:c r="J159" s="76" t="n">
        <x:f>Asumsi!$B$10</x:f>
        <x:v>0</x:v>
      </x:c>
      <x:c r="K159" s="63" t="str">
        <x:f>IF(AND(F159&gt;=MEDIAN($F$157:$F$161)*Asumsi!$B$14,F159&lt;=MEDIAN($F$157:$F$161)*Asumsi!$B$15),"VALID","OUTLIER")</x:f>
        <x:v>VALID</x:v>
      </x:c>
      <x:c r="L159" s="85" t="n">
        <x:f>IF(COUNT(F159,G159,I159,J159)&lt;4,"",IF(K159="VALID",F159*(1-G159)/POWER(1+I159,H159/12)*(1+J159),""))</x:f>
        <x:v>14441598.280767016</x:v>
      </x:c>
      <x:c r="M159" s="63" t="str">
        <x:v>https://www.rumah123.com/jual/surabaya/wonokromo/tanah/</x:v>
      </x:c>
      <x:c r="N159" s="63" t="str">
        <x:v>PROKSI IKLAN</x:v>
      </x:c>
      <x:c r="O159" s="63" t="str">
        <x:v>Belum verifikasi transaksi, koordinat, hak, luas, dan duplikasi iklan.</x:v>
      </x:c>
      <x:c r="P159" s="64"/>
      <x:c r="Q159" s="64"/>
    </x:row>
    <x:row r="160">
      <x:c r="A160" s="63" t="str">
        <x:v>SBY-31-4</x:v>
      </x:c>
      <x:c r="B160" s="63" t="str">
        <x:v>Wonokromo</x:v>
      </x:c>
      <x:c r="C160" s="63" t="str">
        <x:v>ADM-Wonokromo</x:v>
      </x:c>
      <x:c r="D160" s="82" t="n">
        <x:v>46277</x:v>
      </x:c>
      <x:c r="E160" s="63" t="str">
        <x:v>Harga penawaran</x:v>
      </x:c>
      <x:c r="F160" s="83" t="n">
        <x:v>22500000</x:v>
      </x:c>
      <x:c r="G160" s="76" t="n">
        <x:f>Asumsi!$B$8</x:f>
        <x:v>0.1</x:v>
      </x:c>
      <x:c r="H160" s="84" t="n">
        <x:f>(D160-Asumsi!$B$6)/30.4375</x:f>
        <x:v>8.344969199178644</x:v>
      </x:c>
      <x:c r="I160" s="76" t="n">
        <x:f>Asumsi!$B$9</x:f>
        <x:v>0.05</x:v>
      </x:c>
      <x:c r="J160" s="76" t="n">
        <x:f>Asumsi!$B$10</x:f>
        <x:v>0</x:v>
      </x:c>
      <x:c r="K160" s="63" t="str">
        <x:f>IF(AND(F160&gt;=MEDIAN($F$157:$F$161)*Asumsi!$B$14,F160&lt;=MEDIAN($F$157:$F$161)*Asumsi!$B$15),"VALID","OUTLIER")</x:f>
        <x:v>VALID</x:v>
      </x:c>
      <x:c r="L160" s="85" t="n">
        <x:f>IF(COUNT(F160,G160,I160,J160)&lt;4,"",IF(K160="VALID",F160*(1-G160)/POWER(1+I160,H160/12)*(1+J160),""))</x:f>
        <x:v>19574455.50103963</x:v>
      </x:c>
      <x:c r="M160" s="63" t="str">
        <x:v>https://www.rumah123.com/jual/surabaya/wonokromo/tanah/</x:v>
      </x:c>
      <x:c r="N160" s="63" t="str">
        <x:v>PROKSI IKLAN</x:v>
      </x:c>
      <x:c r="O160" s="63" t="str">
        <x:v>Belum verifikasi transaksi, koordinat, hak, luas, dan duplikasi iklan.</x:v>
      </x:c>
      <x:c r="P160" s="64"/>
      <x:c r="Q160" s="64"/>
    </x:row>
    <x:row r="161">
      <x:c r="A161" s="63" t="str">
        <x:v>SBY-31-5</x:v>
      </x:c>
      <x:c r="B161" s="63" t="str">
        <x:v>Wonokromo</x:v>
      </x:c>
      <x:c r="C161" s="63" t="str">
        <x:v>ADM-Wonokromo</x:v>
      </x:c>
      <x:c r="D161" s="82" t="n">
        <x:v>46277</x:v>
      </x:c>
      <x:c r="E161" s="63" t="str">
        <x:v>Harga penawaran</x:v>
      </x:c>
      <x:c r="F161" s="83" t="n">
        <x:v>22400000</x:v>
      </x:c>
      <x:c r="G161" s="76" t="n">
        <x:f>Asumsi!$B$8</x:f>
        <x:v>0.1</x:v>
      </x:c>
      <x:c r="H161" s="84" t="n">
        <x:f>(D161-Asumsi!$B$6)/30.4375</x:f>
        <x:v>8.344969199178644</x:v>
      </x:c>
      <x:c r="I161" s="76" t="n">
        <x:f>Asumsi!$B$9</x:f>
        <x:v>0.05</x:v>
      </x:c>
      <x:c r="J161" s="76" t="n">
        <x:f>Asumsi!$B$10</x:f>
        <x:v>0</x:v>
      </x:c>
      <x:c r="K161" s="63" t="str">
        <x:f>IF(AND(F161&gt;=MEDIAN($F$157:$F$161)*Asumsi!$B$14,F161&lt;=MEDIAN($F$157:$F$161)*Asumsi!$B$15),"VALID","OUTLIER")</x:f>
        <x:v>VALID</x:v>
      </x:c>
      <x:c r="L161" s="85" t="n">
        <x:f>IF(COUNT(F161,G161,I161,J161)&lt;4,"",IF(K161="VALID",F161*(1-G161)/POWER(1+I161,H161/12)*(1+J161),""))</x:f>
        <x:v>19487457.92103501</x:v>
      </x:c>
      <x:c r="M161" s="63" t="str">
        <x:v>https://www.rumah123.com/jual/surabaya/wonokromo/tanah/</x:v>
      </x:c>
      <x:c r="N161" s="63" t="str">
        <x:v>PROKSI IKLAN</x:v>
      </x:c>
      <x:c r="O161" s="63" t="str">
        <x:v>Belum verifikasi transaksi, koordinat, hak, luas, dan duplikasi iklan.</x:v>
      </x:c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0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25" hidden="0" customWidth="1"/>
    <x:col min="13" max="13" width="30" hidden="0" customWidth="1"/>
    <x:col min="14" max="14" width="18" hidden="0" customWidth="1"/>
    <x:col min="15" max="15" width="20" hidden="0" customWidth="1"/>
    <x:col min="16" max="16" width="48" hidden="0" customWidth="1"/>
  </x:cols>
  <x:sheetData>
    <x:row r="1" ht="26" customHeight="1">
      <x:c r="A1" s="71" t="str">
        <x:v>Tahap 2 - NIR dan Zona Nilai Tanah Awal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Satu kecamatan diperlakukan sebagai zona awal untuk benchmark. CV &gt;30% berarti zona tidak homogen dan harus dipecah; nilai masih ditampilkan hanya untuk eksplorasi.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</x:row>
    <x:row r="6" ht="32" customHeight="1">
      <x:c r="A6" s="69" t="str">
        <x:v>Kecamatan</x:v>
      </x:c>
      <x:c r="B6" s="69" t="str">
        <x:v>Zona_Awal</x:v>
      </x:c>
      <x:c r="C6" s="69" t="str">
        <x:v>n_Raw</x:v>
      </x:c>
      <x:c r="D6" s="69" t="str">
        <x:v>n_Valid</x:v>
      </x:c>
      <x:c r="E6" s="69" t="str">
        <x:v>Mean_Rp_m2</x:v>
      </x:c>
      <x:c r="F6" s="69" t="str">
        <x:v>Median_Rp_m2</x:v>
      </x:c>
      <x:c r="G6" s="69" t="str">
        <x:v>StdDev</x:v>
      </x:c>
      <x:c r="H6" s="69" t="str">
        <x:v>CV</x:v>
      </x:c>
      <x:c r="I6" s="69" t="str">
        <x:v>Minimum</x:v>
      </x:c>
      <x:c r="J6" s="69" t="str">
        <x:v>Maksimum</x:v>
      </x:c>
      <x:c r="K6" s="69" t="str">
        <x:v>NIR_Aktif</x:v>
      </x:c>
      <x:c r="L6" s="69" t="str">
        <x:v>NJOP_Bumi_Proksi_Rp_m2</x:v>
      </x:c>
      <x:c r="M6" s="69" t="str">
        <x:v>QA_Jurnal</x:v>
      </x:c>
      <x:c r="N6" s="69" t="str">
        <x:v>Basis</x:v>
      </x:c>
      <x:c r="O6" s="69" t="str">
        <x:v>Jumlah_Iklan_Halaman</x:v>
      </x:c>
      <x:c r="P6" s="69" t="str">
        <x:v>Sumber</x:v>
      </x:c>
      <x:c r="Q6" s="64"/>
    </x:row>
    <x:row r="7">
      <x:c r="A7" s="63" t="str">
        <x:v>Asemrowo</x:v>
      </x:c>
      <x:c r="B7" s="63" t="str">
        <x:v>ADM-Asemrowo</x:v>
      </x:c>
      <x:c r="C7" s="86" t="n">
        <x:f>COUNTA(Sampel_Harga!F7:F11)</x:f>
        <x:v>5</x:v>
      </x:c>
      <x:c r="D7" s="86" t="n">
        <x:f>COUNTIF(Sampel_Harga!K7:K11,"VALID")</x:f>
        <x:v>5</x:v>
      </x:c>
      <x:c r="E7" s="75" t="n">
        <x:f>IF(D7&gt;=Asumsi!$B$11,AVERAGE(Sampel_Harga!L7:L11),"")</x:f>
        <x:v>4835325.496656813</x:v>
      </x:c>
      <x:c r="F7" s="75" t="n">
        <x:f>IF(D7&gt;=Asumsi!$B$11,MEDIAN(Sampel_Harga!L7:L11),"")</x:f>
        <x:v>4784866.900254132</x:v>
      </x:c>
      <x:c r="G7" s="75" t="n">
        <x:f>IF(D7&gt;=Asumsi!$B$11,STDEV.S(Sampel_Harga!L7:L11),"")</x:f>
        <x:v>2321649.048751403</x:v>
      </x:c>
      <x:c r="H7" s="76" t="n">
        <x:f>IFERROR(G7/E7,"")</x:f>
        <x:v>0.48014328101729903</x:v>
      </x:c>
      <x:c r="I7" s="75" t="n">
        <x:f>IF(D7&gt;=Asumsi!$B$11,MIN(Sampel_Harga!L7:L11),"")</x:f>
        <x:v>2174939.5001155147</x:v>
      </x:c>
      <x:c r="J7" s="75" t="n">
        <x:f>IF(D7&gt;=Asumsi!$B$11,MAX(Sampel_Harga!L7:L11),"")</x:f>
        <x:v>8264770.100438955</x:v>
      </x:c>
      <x:c r="K7" s="75" t="n">
        <x:f>IF(D7&gt;=Asumsi!$B$11,IF(Asumsi!$B$13="Median",F7,E7),"")</x:f>
        <x:v>4784866.900254132</x:v>
      </x:c>
      <x:c r="L7" s="75" t="n">
        <x:f>IF(K7="","",ROUND(K7/Asumsi!$B$16,0)*Asumsi!$B$16)</x:f>
        <x:v>4800000</x:v>
      </x:c>
      <x:c r="M7" s="70" t="str">
        <x:f>IF(D7&lt;Asumsi!$B$11,"GAGAL - SAMPEL KURANG",IF(H7&lt;=Asumsi!$B$12,"LOLOS - PROKSIONAL","PERLU PECAH ZNT - CV TINGGI"))</x:f>
        <x:v>PERLU PECAH ZNT - CV TINGGI</x:v>
      </x:c>
      <x:c r="N7" s="70" t="str">
        <x:f>IF(D7&lt;Asumsi!$B$11,"ASUMSI CADANGAN","PROKSI IKLAN")</x:f>
        <x:v>PROKSI IKLAN</x:v>
      </x:c>
      <x:c r="O7" s="63" t="n">
        <x:v>94</x:v>
      </x:c>
      <x:c r="P7" s="63" t="str">
        <x:v>https://www.rumah123.com/jual/surabaya/asemrowo/tanah/</x:v>
      </x:c>
      <x:c r="Q7" s="64"/>
    </x:row>
    <x:row r="8">
      <x:c r="A8" s="63" t="str">
        <x:v>Benowo</x:v>
      </x:c>
      <x:c r="B8" s="63" t="str">
        <x:v>ADM-Benowo</x:v>
      </x:c>
      <x:c r="C8" s="86" t="n">
        <x:f>COUNTA(Sampel_Harga!F12:F16)</x:f>
        <x:v>5</x:v>
      </x:c>
      <x:c r="D8" s="86" t="n">
        <x:f>COUNTIF(Sampel_Harga!K12:K16,"VALID")</x:f>
        <x:v>5</x:v>
      </x:c>
      <x:c r="E8" s="75" t="n">
        <x:f>IF(D8&gt;=Asumsi!$B$11,AVERAGE(Sampel_Harga!L12:L16),"")</x:f>
        <x:v>5480847.540291096</x:v>
      </x:c>
      <x:c r="F8" s="75" t="n">
        <x:f>IF(D8&gt;=Asumsi!$B$11,MEDIAN(Sampel_Harga!L12:L16),"")</x:f>
        <x:v>4784866.900254132</x:v>
      </x:c>
      <x:c r="G8" s="75" t="n">
        <x:f>IF(D8&gt;=Asumsi!$B$11,STDEV.S(Sampel_Harga!L12:L16),"")</x:f>
        <x:v>2858204.835025654</x:v>
      </x:c>
      <x:c r="H8" s="76" t="n">
        <x:f>IFERROR(G8/E8,"")</x:f>
        <x:v>0.5214895714603021</x:v>
      </x:c>
      <x:c r="I8" s="75" t="n">
        <x:f>IF(D8&gt;=Asumsi!$B$11,MIN(Sampel_Harga!L12:L16),"")</x:f>
        <x:v>2827421.350150169</x:v>
      </x:c>
      <x:c r="J8" s="75" t="n">
        <x:f>IF(D8&gt;=Asumsi!$B$11,MAX(Sampel_Harga!L12:L16),"")</x:f>
        <x:v>8699758.000462059</x:v>
      </x:c>
      <x:c r="K8" s="75" t="n">
        <x:f>IF(D8&gt;=Asumsi!$B$11,IF(Asumsi!$B$13="Median",F8,E8),"")</x:f>
        <x:v>4784866.900254132</x:v>
      </x:c>
      <x:c r="L8" s="75" t="n">
        <x:f>IF(K8="","",ROUND(K8/Asumsi!$B$16,0)*Asumsi!$B$16)</x:f>
        <x:v>4800000</x:v>
      </x:c>
      <x:c r="M8" s="70" t="str">
        <x:f>IF(D8&lt;Asumsi!$B$11,"GAGAL - SAMPEL KURANG",IF(H8&lt;=Asumsi!$B$12,"LOLOS - PROKSIONAL","PERLU PECAH ZNT - CV TINGGI"))</x:f>
        <x:v>PERLU PECAH ZNT - CV TINGGI</x:v>
      </x:c>
      <x:c r="N8" s="70" t="str">
        <x:f>IF(D8&lt;Asumsi!$B$11,"ASUMSI CADANGAN","PROKSI IKLAN")</x:f>
        <x:v>PROKSI IKLAN</x:v>
      </x:c>
      <x:c r="O8" s="63" t="n">
        <x:v>219</x:v>
      </x:c>
      <x:c r="P8" s="63" t="str">
        <x:v>https://www.rumah123.com/jual/surabaya/benowo/tanah/</x:v>
      </x:c>
      <x:c r="Q8" s="64"/>
    </x:row>
    <x:row r="9">
      <x:c r="A9" s="63" t="str">
        <x:v>Bubutan</x:v>
      </x:c>
      <x:c r="B9" s="63" t="str">
        <x:v>ADM-Bubutan</x:v>
      </x:c>
      <x:c r="C9" s="86" t="n">
        <x:f>COUNTA(Sampel_Harga!F17:F21)</x:f>
        <x:v>5</x:v>
      </x:c>
      <x:c r="D9" s="86" t="n">
        <x:f>COUNTIF(Sampel_Harga!K17:K21,"VALID")</x:f>
        <x:v>5</x:v>
      </x:c>
      <x:c r="E9" s="75" t="n">
        <x:f>IF(D9&gt;=Asumsi!$B$11,AVERAGE(Sampel_Harga!L17:L21),"")</x:f>
        <x:v>17625709.708936132</x:v>
      </x:c>
      <x:c r="F9" s="75" t="n">
        <x:f>IF(D9&gt;=Asumsi!$B$11,MEDIAN(Sampel_Harga!L17:L21),"")</x:f>
        <x:v>18269491.800970323</x:v>
      </x:c>
      <x:c r="G9" s="75" t="n">
        <x:f>IF(D9&gt;=Asumsi!$B$11,STDEV.S(Sampel_Harga!L17:L21),"")</x:f>
        <x:v>4361868.14402256</x:v>
      </x:c>
      <x:c r="H9" s="76" t="n">
        <x:f>IFERROR(G9/E9,"")</x:f>
        <x:v>0.2474719155173149</x:v>
      </x:c>
      <x:c r="I9" s="75" t="n">
        <x:f>IF(D9&gt;=Asumsi!$B$11,MIN(Sampel_Harga!L17:L21),"")</x:f>
        <x:v>10439709.60055447</x:v>
      </x:c>
      <x:c r="J9" s="75" t="n">
        <x:f>IF(D9&gt;=Asumsi!$B$11,MAX(Sampel_Harga!L17:L21),"")</x:f>
        <x:v>21749395.001155145</x:v>
      </x:c>
      <x:c r="K9" s="75" t="n">
        <x:f>IF(D9&gt;=Asumsi!$B$11,IF(Asumsi!$B$13="Median",F9,E9),"")</x:f>
        <x:v>18269491.800970323</x:v>
      </x:c>
      <x:c r="L9" s="75" t="n">
        <x:f>IF(K9="","",ROUND(K9/Asumsi!$B$16,0)*Asumsi!$B$16)</x:f>
        <x:v>18300000</x:v>
      </x:c>
      <x:c r="M9" s="70" t="str">
        <x:f>IF(D9&lt;Asumsi!$B$11,"GAGAL - SAMPEL KURANG",IF(H9&lt;=Asumsi!$B$12,"LOLOS - PROKSIONAL","PERLU PECAH ZNT - CV TINGGI"))</x:f>
        <x:v>LOLOS - PROKSIONAL</x:v>
      </x:c>
      <x:c r="N9" s="70" t="str">
        <x:f>IF(D9&lt;Asumsi!$B$11,"ASUMSI CADANGAN","PROKSI IKLAN")</x:f>
        <x:v>PROKSI IKLAN</x:v>
      </x:c>
      <x:c r="O9" s="63" t="n">
        <x:v>25</x:v>
      </x:c>
      <x:c r="P9" s="63" t="str">
        <x:v>https://www.rumah123.com/jual/surabaya/bubutan/tanah/</x:v>
      </x:c>
      <x:c r="Q9" s="64"/>
    </x:row>
    <x:row r="10">
      <x:c r="A10" s="63" t="str">
        <x:v>Bulak</x:v>
      </x:c>
      <x:c r="B10" s="63" t="str">
        <x:v>ADM-Bulak</x:v>
      </x:c>
      <x:c r="C10" s="86" t="n">
        <x:f>COUNTA(Sampel_Harga!F22:F26)</x:f>
        <x:v>5</x:v>
      </x:c>
      <x:c r="D10" s="86" t="n">
        <x:f>COUNTIF(Sampel_Harga!K22:K26,"VALID")</x:f>
        <x:v>5</x:v>
      </x:c>
      <x:c r="E10" s="75" t="n">
        <x:f>IF(D10&gt;=Asumsi!$B$11,AVERAGE(Sampel_Harga!L22:L26),"")</x:f>
        <x:v>7577489.218402455</x:v>
      </x:c>
      <x:c r="F10" s="75" t="n">
        <x:f>IF(D10&gt;=Asumsi!$B$11,MEDIAN(Sampel_Harga!L22:L26),"")</x:f>
        <x:v>8699758.000462059</x:v>
      </x:c>
      <x:c r="G10" s="75" t="n">
        <x:f>IF(D10&gt;=Asumsi!$B$11,STDEV.S(Sampel_Harga!L22:L26),"")</x:f>
        <x:v>1877616.5913301886</x:v>
      </x:c>
      <x:c r="H10" s="76" t="n">
        <x:f>IFERROR(G10/E10,"")</x:f>
        <x:v>0.24778875128852276</x:v>
      </x:c>
      <x:c r="I10" s="75" t="n">
        <x:f>IF(D10&gt;=Asumsi!$B$11,MIN(Sampel_Harga!L22:L26),"")</x:f>
        <x:v>5437348.750288786</x:v>
      </x:c>
      <x:c r="J10" s="75" t="n">
        <x:f>IF(D10&gt;=Asumsi!$B$11,MAX(Sampel_Harga!L22:L26),"")</x:f>
        <x:v>9395738.640499024</x:v>
      </x:c>
      <x:c r="K10" s="75" t="n">
        <x:f>IF(D10&gt;=Asumsi!$B$11,IF(Asumsi!$B$13="Median",F10,E10),"")</x:f>
        <x:v>8699758.000462059</x:v>
      </x:c>
      <x:c r="L10" s="75" t="n">
        <x:f>IF(K10="","",ROUND(K10/Asumsi!$B$16,0)*Asumsi!$B$16)</x:f>
        <x:v>8700000</x:v>
      </x:c>
      <x:c r="M10" s="70" t="str">
        <x:f>IF(D10&lt;Asumsi!$B$11,"GAGAL - SAMPEL KURANG",IF(H10&lt;=Asumsi!$B$12,"LOLOS - PROKSIONAL","PERLU PECAH ZNT - CV TINGGI"))</x:f>
        <x:v>LOLOS - PROKSIONAL</x:v>
      </x:c>
      <x:c r="N10" s="70" t="str">
        <x:f>IF(D10&lt;Asumsi!$B$11,"ASUMSI CADANGAN","PROKSI IKLAN")</x:f>
        <x:v>PROKSI IKLAN</x:v>
      </x:c>
      <x:c r="O10" s="63" t="n">
        <x:v>30</x:v>
      </x:c>
      <x:c r="P10" s="63" t="str">
        <x:v>https://www.rumah123.com/jual/surabaya/bulak/tanah/</x:v>
      </x:c>
      <x:c r="Q10" s="64"/>
    </x:row>
    <x:row r="11">
      <x:c r="A11" s="63" t="str">
        <x:v>Dukuh Pakis</x:v>
      </x:c>
      <x:c r="B11" s="63" t="str">
        <x:v>ADM-Dukuh Pakis</x:v>
      </x:c>
      <x:c r="C11" s="86" t="n">
        <x:f>COUNTA(Sampel_Harga!F27:F31)</x:f>
        <x:v>5</x:v>
      </x:c>
      <x:c r="D11" s="86" t="n">
        <x:f>COUNTIF(Sampel_Harga!K27:K31,"VALID")</x:f>
        <x:v>5</x:v>
      </x:c>
      <x:c r="E11" s="75" t="n">
        <x:f>IF(D11&gt;=Asumsi!$B$11,AVERAGE(Sampel_Harga!L27:L31),"")</x:f>
        <x:v>36016998.12191292</x:v>
      </x:c>
      <x:c r="F11" s="75" t="n">
        <x:f>IF(D11&gt;=Asumsi!$B$11,MEDIAN(Sampel_Harga!L27:L31),"")</x:f>
        <x:v>31319128.80166341</x:v>
      </x:c>
      <x:c r="G11" s="75" t="n">
        <x:f>IF(D11&gt;=Asumsi!$B$11,STDEV.S(Sampel_Harga!L27:L31),"")</x:f>
        <x:v>6432822.497280297</x:v>
      </x:c>
      <x:c r="H11" s="76" t="n">
        <x:f>IFERROR(G11/E11,"")</x:f>
        <x:v>0.17860518179516288</x:v>
      </x:c>
      <x:c r="I11" s="75" t="n">
        <x:f>IF(D11&gt;=Asumsi!$B$11,MIN(Sampel_Harga!L27:L31),"")</x:f>
        <x:v>31319128.80166341</x:v>
      </x:c>
      <x:c r="J11" s="75" t="n">
        <x:f>IF(D11&gt;=Asumsi!$B$11,MAX(Sampel_Harga!L27:L31),"")</x:f>
        <x:v>43063802.10228719</x:v>
      </x:c>
      <x:c r="K11" s="75" t="n">
        <x:f>IF(D11&gt;=Asumsi!$B$11,IF(Asumsi!$B$13="Median",F11,E11),"")</x:f>
        <x:v>31319128.80166341</x:v>
      </x:c>
      <x:c r="L11" s="75" t="n">
        <x:f>IF(K11="","",ROUND(K11/Asumsi!$B$16,0)*Asumsi!$B$16)</x:f>
        <x:v>31300000</x:v>
      </x:c>
      <x:c r="M11" s="70" t="str">
        <x:f>IF(D11&lt;Asumsi!$B$11,"GAGAL - SAMPEL KURANG",IF(H11&lt;=Asumsi!$B$12,"LOLOS - PROKSIONAL","PERLU PECAH ZNT - CV TINGGI"))</x:f>
        <x:v>LOLOS - PROKSIONAL</x:v>
      </x:c>
      <x:c r="N11" s="70" t="str">
        <x:f>IF(D11&lt;Asumsi!$B$11,"ASUMSI CADANGAN","PROKSI IKLAN")</x:f>
        <x:v>PROKSI IKLAN</x:v>
      </x:c>
      <x:c r="O11" s="63" t="n">
        <x:v>227</x:v>
      </x:c>
      <x:c r="P11" s="63" t="str">
        <x:v>https://www.rumah123.com/jual/surabaya/dukuh-pakis/tanah/</x:v>
      </x:c>
      <x:c r="Q11" s="64"/>
    </x:row>
    <x:row r="12">
      <x:c r="A12" s="63" t="str">
        <x:v>Gayungan</x:v>
      </x:c>
      <x:c r="B12" s="63" t="str">
        <x:v>ADM-Gayungan</x:v>
      </x:c>
      <x:c r="C12" s="86" t="n">
        <x:f>COUNTA(Sampel_Harga!F32:F36)</x:f>
        <x:v>5</x:v>
      </x:c>
      <x:c r="D12" s="86" t="n">
        <x:f>COUNTIF(Sampel_Harga!K32:K36,"VALID")</x:f>
        <x:v>5</x:v>
      </x:c>
      <x:c r="E12" s="75" t="n">
        <x:f>IF(D12&gt;=Asumsi!$B$11,AVERAGE(Sampel_Harga!L32:L36),"")</x:f>
        <x:v>8525762.840452816</x:v>
      </x:c>
      <x:c r="F12" s="75" t="n">
        <x:f>IF(D12&gt;=Asumsi!$B$11,MEDIAN(Sampel_Harga!L32:L36),"")</x:f>
        <x:v>7838481.958416315</x:v>
      </x:c>
      <x:c r="G12" s="75" t="n">
        <x:f>IF(D12&gt;=Asumsi!$B$11,STDEV.S(Sampel_Harga!L32:L36),"")</x:f>
        <x:v>3570352.4896181244</x:v>
      </x:c>
      <x:c r="H12" s="76" t="n">
        <x:f>IFERROR(G12/E12,"")</x:f>
        <x:v>0.4187722033127182</x:v>
      </x:c>
      <x:c r="I12" s="75" t="n">
        <x:f>IF(D12&gt;=Asumsi!$B$11,MIN(Sampel_Harga!L32:L36),"")</x:f>
        <x:v>4776167.14225367</x:v>
      </x:c>
      <x:c r="J12" s="75" t="n">
        <x:f>IF(D12&gt;=Asumsi!$B$11,MAX(Sampel_Harga!L32:L36),"")</x:f>
        <x:v>13049637.000693087</x:v>
      </x:c>
      <x:c r="K12" s="75" t="n">
        <x:f>IF(D12&gt;=Asumsi!$B$11,IF(Asumsi!$B$13="Median",F12,E12),"")</x:f>
        <x:v>7838481.958416315</x:v>
      </x:c>
      <x:c r="L12" s="75" t="n">
        <x:f>IF(K12="","",ROUND(K12/Asumsi!$B$16,0)*Asumsi!$B$16)</x:f>
        <x:v>7800000</x:v>
      </x:c>
      <x:c r="M12" s="70" t="str">
        <x:f>IF(D12&lt;Asumsi!$B$11,"GAGAL - SAMPEL KURANG",IF(H12&lt;=Asumsi!$B$12,"LOLOS - PROKSIONAL","PERLU PECAH ZNT - CV TINGGI"))</x:f>
        <x:v>PERLU PECAH ZNT - CV TINGGI</x:v>
      </x:c>
      <x:c r="N12" s="70" t="str">
        <x:f>IF(D12&lt;Asumsi!$B$11,"ASUMSI CADANGAN","PROKSI IKLAN")</x:f>
        <x:v>PROKSI IKLAN</x:v>
      </x:c>
      <x:c r="O12" s="63" t="n">
        <x:v>119</x:v>
      </x:c>
      <x:c r="P12" s="63" t="str">
        <x:v>https://www.rumah123.com/jual/surabaya/gayungan/tanah/</x:v>
      </x:c>
      <x:c r="Q12" s="64"/>
    </x:row>
    <x:row r="13">
      <x:c r="A13" s="63" t="str">
        <x:v>Genteng</x:v>
      </x:c>
      <x:c r="B13" s="63" t="str">
        <x:v>ADM-Genteng</x:v>
      </x:c>
      <x:c r="C13" s="86" t="n">
        <x:f>COUNTA(Sampel_Harga!F37:F41)</x:f>
        <x:v>5</x:v>
      </x:c>
      <x:c r="D13" s="86" t="n">
        <x:f>COUNTIF(Sampel_Harga!K37:K41,"VALID")</x:f>
        <x:v>5</x:v>
      </x:c>
      <x:c r="E13" s="75" t="n">
        <x:f>IF(D13&gt;=Asumsi!$B$11,AVERAGE(Sampel_Harga!L37:L41),"")</x:f>
        <x:v>18182494.220965702</x:v>
      </x:c>
      <x:c r="F13" s="75" t="n">
        <x:f>IF(D13&gt;=Asumsi!$B$11,MEDIAN(Sampel_Harga!L37:L41),"")</x:f>
        <x:v>17399516.000924118</x:v>
      </x:c>
      <x:c r="G13" s="75" t="n">
        <x:f>IF(D13&gt;=Asumsi!$B$11,STDEV.S(Sampel_Harga!L37:L41),"")</x:f>
        <x:v>2313219.682855235</x:v>
      </x:c>
      <x:c r="H13" s="76" t="n">
        <x:f>IFERROR(G13/E13,"")</x:f>
        <x:v>0.1272223521560606</x:v>
      </x:c>
      <x:c r="I13" s="75" t="n">
        <x:f>IF(D13&gt;=Asumsi!$B$11,MIN(Sampel_Harga!L37:L41),"")</x:f>
        <x:v>15659564.400831705</x:v>
      </x:c>
      <x:c r="J13" s="75" t="n">
        <x:f>IF(D13&gt;=Asumsi!$B$11,MAX(Sampel_Harga!L37:L41),"")</x:f>
        <x:v>21749395.001155145</x:v>
      </x:c>
      <x:c r="K13" s="75" t="n">
        <x:f>IF(D13&gt;=Asumsi!$B$11,IF(Asumsi!$B$13="Median",F13,E13),"")</x:f>
        <x:v>17399516.000924118</x:v>
      </x:c>
      <x:c r="L13" s="75" t="n">
        <x:f>IF(K13="","",ROUND(K13/Asumsi!$B$16,0)*Asumsi!$B$16)</x:f>
        <x:v>17400000</x:v>
      </x:c>
      <x:c r="M13" s="70" t="str">
        <x:f>IF(D13&lt;Asumsi!$B$11,"GAGAL - SAMPEL KURANG",IF(H13&lt;=Asumsi!$B$12,"LOLOS - PROKSIONAL","PERLU PECAH ZNT - CV TINGGI"))</x:f>
        <x:v>LOLOS - PROKSIONAL</x:v>
      </x:c>
      <x:c r="N13" s="70" t="str">
        <x:f>IF(D13&lt;Asumsi!$B$11,"ASUMSI CADANGAN","PROKSI IKLAN")</x:f>
        <x:v>PROKSI IKLAN</x:v>
      </x:c>
      <x:c r="O13" s="63" t="n">
        <x:v>41</x:v>
      </x:c>
      <x:c r="P13" s="63" t="str">
        <x:v>https://www.rumah123.com/jual/surabaya/genteng/tanah/</x:v>
      </x:c>
      <x:c r="Q13" s="64"/>
    </x:row>
    <x:row r="14">
      <x:c r="A14" s="63" t="str">
        <x:v>Gubeng</x:v>
      </x:c>
      <x:c r="B14" s="63" t="str">
        <x:v>ADM-Gubeng</x:v>
      </x:c>
      <x:c r="C14" s="86" t="n">
        <x:f>COUNTA(Sampel_Harga!F42:F46)</x:f>
        <x:v>5</x:v>
      </x:c>
      <x:c r="D14" s="86" t="n">
        <x:f>COUNTIF(Sampel_Harga!K42:K46,"VALID")</x:f>
        <x:v>3</x:v>
      </x:c>
      <x:c r="E14" s="75" t="n">
        <x:f>IF(D14&gt;=Asumsi!$B$11,AVERAGE(Sampel_Harga!L42:L46),"")</x:f>
        <x:v>6872808.820365027</x:v>
      </x:c>
      <x:c r="F14" s="75" t="n">
        <x:f>IF(D14&gt;=Asumsi!$B$11,MEDIAN(Sampel_Harga!L42:L46),"")</x:f>
        <x:v>6959806.400369647</x:v>
      </x:c>
      <x:c r="G14" s="75" t="n">
        <x:f>IF(D14&gt;=Asumsi!$B$11,STDEV.S(Sampel_Harga!L42:L46),"")</x:f>
        <x:v>1003305.0369881671</x:v>
      </x:c>
      <x:c r="H14" s="76" t="n">
        <x:f>IFERROR(G14/E14,"")</x:f>
        <x:v>0.14598180499583283</x:v>
      </x:c>
      <x:c r="I14" s="75" t="n">
        <x:f>IF(D14&gt;=Asumsi!$B$11,MIN(Sampel_Harga!L42:L46),"")</x:f>
        <x:v>5828837.860309579</x:v>
      </x:c>
      <x:c r="J14" s="75" t="n">
        <x:f>IF(D14&gt;=Asumsi!$B$11,MAX(Sampel_Harga!L42:L46),"")</x:f>
        <x:v>7829782.2004158525</x:v>
      </x:c>
      <x:c r="K14" s="75" t="n">
        <x:f>IF(D14&gt;=Asumsi!$B$11,IF(Asumsi!$B$13="Median",F14,E14),"")</x:f>
        <x:v>6959806.400369647</x:v>
      </x:c>
      <x:c r="L14" s="75" t="n">
        <x:f>IF(K14="","",ROUND(K14/Asumsi!$B$16,0)*Asumsi!$B$16)</x:f>
        <x:v>7000000</x:v>
      </x:c>
      <x:c r="M14" s="70" t="str">
        <x:f>IF(D14&lt;Asumsi!$B$11,"GAGAL - SAMPEL KURANG",IF(H14&lt;=Asumsi!$B$12,"LOLOS - PROKSIONAL","PERLU PECAH ZNT - CV TINGGI"))</x:f>
        <x:v>LOLOS - PROKSIONAL</x:v>
      </x:c>
      <x:c r="N14" s="70" t="str">
        <x:f>IF(D14&lt;Asumsi!$B$11,"ASUMSI CADANGAN","PROKSI IKLAN")</x:f>
        <x:v>PROKSI IKLAN</x:v>
      </x:c>
      <x:c r="O14" s="63" t="n">
        <x:v>68</x:v>
      </x:c>
      <x:c r="P14" s="63" t="str">
        <x:v>https://www.rumah123.com/jual/surabaya/gubeng/tanah/</x:v>
      </x:c>
      <x:c r="Q14" s="64"/>
    </x:row>
    <x:row r="15">
      <x:c r="A15" s="63" t="str">
        <x:v>Gunung Anyar</x:v>
      </x:c>
      <x:c r="B15" s="63" t="str">
        <x:v>ADM-Gunung Anyar</x:v>
      </x:c>
      <x:c r="C15" s="86" t="n">
        <x:f>COUNTA(Sampel_Harga!F47:F51)</x:f>
        <x:v>5</x:v>
      </x:c>
      <x:c r="D15" s="86" t="n">
        <x:f>COUNTIF(Sampel_Harga!K47:K51,"VALID")</x:f>
        <x:v>5</x:v>
      </x:c>
      <x:c r="E15" s="75" t="n">
        <x:f>IF(D15&gt;=Asumsi!$B$11,AVERAGE(Sampel_Harga!L47:L51),"")</x:f>
        <x:v>4532573.9182407325</x:v>
      </x:c>
      <x:c r="F15" s="75" t="n">
        <x:f>IF(D15&gt;=Asumsi!$B$11,MEDIAN(Sampel_Harga!L47:L51),"")</x:f>
        <x:v>4349879.0002310295</x:v>
      </x:c>
      <x:c r="G15" s="75" t="n">
        <x:f>IF(D15&gt;=Asumsi!$B$11,STDEV.S(Sampel_Harga!L47:L51),"")</x:f>
        <x:v>1703242.8783320703</x:v>
      </x:c>
      <x:c r="H15" s="76" t="n">
        <x:f>IFERROR(G15/E15,"")</x:f>
        <x:v>0.37577829044940647</x:v>
      </x:c>
      <x:c r="I15" s="75" t="n">
        <x:f>IF(D15&gt;=Asumsi!$B$11,MIN(Sampel_Harga!L47:L51),"")</x:f>
        <x:v>2174939.5001155147</x:v>
      </x:c>
      <x:c r="J15" s="75" t="n">
        <x:f>IF(D15&gt;=Asumsi!$B$11,MAX(Sampel_Harga!L47:L51),"")</x:f>
        <x:v>6959806.400369647</x:v>
      </x:c>
      <x:c r="K15" s="75" t="n">
        <x:f>IF(D15&gt;=Asumsi!$B$11,IF(Asumsi!$B$13="Median",F15,E15),"")</x:f>
        <x:v>4349879.0002310295</x:v>
      </x:c>
      <x:c r="L15" s="75" t="n">
        <x:f>IF(K15="","",ROUND(K15/Asumsi!$B$16,0)*Asumsi!$B$16)</x:f>
        <x:v>4300000</x:v>
      </x:c>
      <x:c r="M15" s="70" t="str">
        <x:f>IF(D15&lt;Asumsi!$B$11,"GAGAL - SAMPEL KURANG",IF(H15&lt;=Asumsi!$B$12,"LOLOS - PROKSIONAL","PERLU PECAH ZNT - CV TINGGI"))</x:f>
        <x:v>PERLU PECAH ZNT - CV TINGGI</x:v>
      </x:c>
      <x:c r="N15" s="70" t="str">
        <x:f>IF(D15&lt;Asumsi!$B$11,"ASUMSI CADANGAN","PROKSI IKLAN")</x:f>
        <x:v>PROKSI IKLAN</x:v>
      </x:c>
      <x:c r="O15" s="63" t="n">
        <x:v>118</x:v>
      </x:c>
      <x:c r="P15" s="63" t="str">
        <x:v>https://www.rumah123.com/jual/surabaya/gununganyar/tanah/</x:v>
      </x:c>
      <x:c r="Q15" s="64"/>
    </x:row>
    <x:row r="16">
      <x:c r="A16" s="63" t="str">
        <x:v>Jambangan</x:v>
      </x:c>
      <x:c r="B16" s="63" t="str">
        <x:v>ADM-Jambangan</x:v>
      </x:c>
      <x:c r="C16" s="86" t="n">
        <x:f>COUNTA(Sampel_Harga!F52:F56)</x:f>
        <x:v>5</x:v>
      </x:c>
      <x:c r="D16" s="86" t="n">
        <x:f>COUNTIF(Sampel_Harga!K52:K56,"VALID")</x:f>
        <x:v>5</x:v>
      </x:c>
      <x:c r="E16" s="75" t="n">
        <x:f>IF(D16&gt;=Asumsi!$B$11,AVERAGE(Sampel_Harga!L52:L56),"")</x:f>
        <x:v>7313016.575188406</x:v>
      </x:c>
      <x:c r="F16" s="75" t="n">
        <x:f>IF(D16&gt;=Asumsi!$B$11,MEDIAN(Sampel_Harga!L52:L56),"")</x:f>
        <x:v>7829782.2004158525</x:v>
      </x:c>
      <x:c r="G16" s="75" t="n">
        <x:f>IF(D16&gt;=Asumsi!$B$11,STDEV.S(Sampel_Harga!L52:L56),"")</x:f>
        <x:v>1179027.4612161734</x:v>
      </x:c>
      <x:c r="H16" s="76" t="n">
        <x:f>IFERROR(G16/E16,"")</x:f>
        <x:v>0.16122313536337063</x:v>
      </x:c>
      <x:c r="I16" s="75" t="n">
        <x:f>IF(D16&gt;=Asumsi!$B$11,MIN(Sampel_Harga!L52:L56),"")</x:f>
        <x:v>5219854.800277235</x:v>
      </x:c>
      <x:c r="J16" s="75" t="n">
        <x:f>IF(D16&gt;=Asumsi!$B$11,MAX(Sampel_Harga!L52:L56),"")</x:f>
        <x:v>8047276.150427404</x:v>
      </x:c>
      <x:c r="K16" s="75" t="n">
        <x:f>IF(D16&gt;=Asumsi!$B$11,IF(Asumsi!$B$13="Median",F16,E16),"")</x:f>
        <x:v>7829782.2004158525</x:v>
      </x:c>
      <x:c r="L16" s="75" t="n">
        <x:f>IF(K16="","",ROUND(K16/Asumsi!$B$16,0)*Asumsi!$B$16)</x:f>
        <x:v>7800000</x:v>
      </x:c>
      <x:c r="M16" s="70" t="str">
        <x:f>IF(D16&lt;Asumsi!$B$11,"GAGAL - SAMPEL KURANG",IF(H16&lt;=Asumsi!$B$12,"LOLOS - PROKSIONAL","PERLU PECAH ZNT - CV TINGGI"))</x:f>
        <x:v>LOLOS - PROKSIONAL</x:v>
      </x:c>
      <x:c r="N16" s="70" t="str">
        <x:f>IF(D16&lt;Asumsi!$B$11,"ASUMSI CADANGAN","PROKSI IKLAN")</x:f>
        <x:v>PROKSI IKLAN</x:v>
      </x:c>
      <x:c r="O16" s="63" t="n">
        <x:v>45</x:v>
      </x:c>
      <x:c r="P16" s="63" t="str">
        <x:v>https://www.rumah123.com/jual/surabaya/jambangan/tanah/</x:v>
      </x:c>
      <x:c r="Q16" s="64"/>
    </x:row>
    <x:row r="17">
      <x:c r="A17" s="63" t="str">
        <x:v>Karang Pilang</x:v>
      </x:c>
      <x:c r="B17" s="63" t="str">
        <x:v>ADM-Karang Pilang</x:v>
      </x:c>
      <x:c r="C17" s="86" t="n">
        <x:f>COUNTA(Sampel_Harga!F57:F61)</x:f>
        <x:v>5</x:v>
      </x:c>
      <x:c r="D17" s="86" t="n">
        <x:f>COUNTIF(Sampel_Harga!K57:K61,"VALID")</x:f>
        <x:v>4</x:v>
      </x:c>
      <x:c r="E17" s="75" t="n">
        <x:f>IF(D17&gt;=Asumsi!$B$11,AVERAGE(Sampel_Harga!L57:L61),"")</x:f>
        <x:v>6198577.575329217</x:v>
      </x:c>
      <x:c r="F17" s="75" t="n">
        <x:f>IF(D17&gt;=Asumsi!$B$11,MEDIAN(Sampel_Harga!L57:L61),"")</x:f>
        <x:v>6742312.450358095</x:v>
      </x:c>
      <x:c r="G17" s="75" t="n">
        <x:f>IF(D17&gt;=Asumsi!$B$11,STDEV.S(Sampel_Harga!L57:L61),"")</x:f>
        <x:v>2082346.0351406129</x:v>
      </x:c>
      <x:c r="H17" s="76" t="n">
        <x:f>IFERROR(G17/E17,"")</x:f>
        <x:v>0.33593933605485543</x:v>
      </x:c>
      <x:c r="I17" s="75" t="n">
        <x:f>IF(D17&gt;=Asumsi!$B$11,MIN(Sampel_Harga!L57:L61),"")</x:f>
        <x:v>3479903.2001848235</x:v>
      </x:c>
      <x:c r="J17" s="75" t="n">
        <x:f>IF(D17&gt;=Asumsi!$B$11,MAX(Sampel_Harga!L57:L61),"")</x:f>
        <x:v>7829782.2004158525</x:v>
      </x:c>
      <x:c r="K17" s="75" t="n">
        <x:f>IF(D17&gt;=Asumsi!$B$11,IF(Asumsi!$B$13="Median",F17,E17),"")</x:f>
        <x:v>6742312.450358095</x:v>
      </x:c>
      <x:c r="L17" s="75" t="n">
        <x:f>IF(K17="","",ROUND(K17/Asumsi!$B$16,0)*Asumsi!$B$16)</x:f>
        <x:v>6700000</x:v>
      </x:c>
      <x:c r="M17" s="70" t="str">
        <x:f>IF(D17&lt;Asumsi!$B$11,"GAGAL - SAMPEL KURANG",IF(H17&lt;=Asumsi!$B$12,"LOLOS - PROKSIONAL","PERLU PECAH ZNT - CV TINGGI"))</x:f>
        <x:v>PERLU PECAH ZNT - CV TINGGI</x:v>
      </x:c>
      <x:c r="N17" s="70" t="str">
        <x:f>IF(D17&lt;Asumsi!$B$11,"ASUMSI CADANGAN","PROKSI IKLAN")</x:f>
        <x:v>PROKSI IKLAN</x:v>
      </x:c>
      <x:c r="O17" s="63" t="n">
        <x:v>62</x:v>
      </x:c>
      <x:c r="P17" s="63" t="str">
        <x:v>https://www.rumah123.com/jual/surabaya/karangpilang/tanah/</x:v>
      </x:c>
      <x:c r="Q17" s="64"/>
    </x:row>
    <x:row r="18">
      <x:c r="A18" s="63" t="str">
        <x:v>Kenjeran</x:v>
      </x:c>
      <x:c r="B18" s="63" t="str">
        <x:v>ADM-Kenjeran</x:v>
      </x:c>
      <x:c r="C18" s="86" t="n">
        <x:f>COUNTA(Sampel_Harga!F62:F66)</x:f>
        <x:v>5</x:v>
      </x:c>
      <x:c r="D18" s="86" t="n">
        <x:f>COUNTIF(Sampel_Harga!K62:K66,"VALID")</x:f>
        <x:v>5</x:v>
      </x:c>
      <x:c r="E18" s="75" t="n">
        <x:f>IF(D18&gt;=Asumsi!$B$11,AVERAGE(Sampel_Harga!L62:L66),"")</x:f>
        <x:v>8233450.971637292</x:v>
      </x:c>
      <x:c r="F18" s="75" t="n">
        <x:f>IF(D18&gt;=Asumsi!$B$11,MEDIAN(Sampel_Harga!L62:L66),"")</x:f>
        <x:v>8699758.000462059</x:v>
      </x:c>
      <x:c r="G18" s="75" t="n">
        <x:f>IF(D18&gt;=Asumsi!$B$11,STDEV.S(Sampel_Harga!L62:L66),"")</x:f>
        <x:v>1474315.110412199</x:v>
      </x:c>
      <x:c r="H18" s="76" t="n">
        <x:f>IFERROR(G18/E18,"")</x:f>
        <x:v>0.17906405412395612</x:v>
      </x:c>
      <x:c r="I18" s="75" t="n">
        <x:f>IF(D18&gt;=Asumsi!$B$11,MIN(Sampel_Harga!L62:L66),"")</x:f>
        <x:v>5637443.184299414</x:v>
      </x:c>
      <x:c r="J18" s="75" t="n">
        <x:f>IF(D18&gt;=Asumsi!$B$11,MAX(Sampel_Harga!L62:L66),"")</x:f>
        <x:v>9308741.060494402</x:v>
      </x:c>
      <x:c r="K18" s="75" t="n">
        <x:f>IF(D18&gt;=Asumsi!$B$11,IF(Asumsi!$B$13="Median",F18,E18),"")</x:f>
        <x:v>8699758.000462059</x:v>
      </x:c>
      <x:c r="L18" s="75" t="n">
        <x:f>IF(K18="","",ROUND(K18/Asumsi!$B$16,0)*Asumsi!$B$16)</x:f>
        <x:v>8700000</x:v>
      </x:c>
      <x:c r="M18" s="70" t="str">
        <x:f>IF(D18&lt;Asumsi!$B$11,"GAGAL - SAMPEL KURANG",IF(H18&lt;=Asumsi!$B$12,"LOLOS - PROKSIONAL","PERLU PECAH ZNT - CV TINGGI"))</x:f>
        <x:v>LOLOS - PROKSIONAL</x:v>
      </x:c>
      <x:c r="N18" s="70" t="str">
        <x:f>IF(D18&lt;Asumsi!$B$11,"ASUMSI CADANGAN","PROKSI IKLAN")</x:f>
        <x:v>PROKSI IKLAN</x:v>
      </x:c>
      <x:c r="O18" s="63" t="n">
        <x:v>194</x:v>
      </x:c>
      <x:c r="P18" s="63" t="str">
        <x:v>https://www.rumah123.com/jual/surabaya/kenjeran/tanah/</x:v>
      </x:c>
      <x:c r="Q18" s="64"/>
    </x:row>
    <x:row r="19">
      <x:c r="A19" s="63" t="str">
        <x:v>Krembangan</x:v>
      </x:c>
      <x:c r="B19" s="63" t="str">
        <x:v>ADM-Krembangan</x:v>
      </x:c>
      <x:c r="C19" s="86" t="n">
        <x:f>COUNTA(Sampel_Harga!F67:F71)</x:f>
        <x:v>5</x:v>
      </x:c>
      <x:c r="D19" s="86" t="n">
        <x:f>COUNTIF(Sampel_Harga!K67:K71,"VALID")</x:f>
        <x:v>5</x:v>
      </x:c>
      <x:c r="E19" s="75" t="n">
        <x:f>IF(D19&gt;=Asumsi!$B$11,AVERAGE(Sampel_Harga!L67:L71),"")</x:f>
        <x:v>8541422.404853648</x:v>
      </x:c>
      <x:c r="F19" s="75" t="n">
        <x:f>IF(D19&gt;=Asumsi!$B$11,MEDIAN(Sampel_Harga!L67:L71),"")</x:f>
        <x:v>7020704.706372881</x:v>
      </x:c>
      <x:c r="G19" s="75" t="n">
        <x:f>IF(D19&gt;=Asumsi!$B$11,STDEV.S(Sampel_Harga!L67:L71),"")</x:f>
        <x:v>3105834.3198054065</x:v>
      </x:c>
      <x:c r="H19" s="76" t="n">
        <x:f>IFERROR(G19/E19,"")</x:f>
        <x:v>0.3636202698558172</x:v>
      </x:c>
      <x:c r="I19" s="75" t="n">
        <x:f>IF(D19&gt;=Asumsi!$B$11,MIN(Sampel_Harga!L67:L71),"")</x:f>
        <x:v>5646142.942299875</x:v>
      </x:c>
      <x:c r="J19" s="75" t="n">
        <x:f>IF(D19&gt;=Asumsi!$B$11,MAX(Sampel_Harga!L67:L71),"")</x:f>
        <x:v>13049637.000693087</x:v>
      </x:c>
      <x:c r="K19" s="75" t="n">
        <x:f>IF(D19&gt;=Asumsi!$B$11,IF(Asumsi!$B$13="Median",F19,E19),"")</x:f>
        <x:v>7020704.706372881</x:v>
      </x:c>
      <x:c r="L19" s="75" t="n">
        <x:f>IF(K19="","",ROUND(K19/Asumsi!$B$16,0)*Asumsi!$B$16)</x:f>
        <x:v>7000000</x:v>
      </x:c>
      <x:c r="M19" s="70" t="str">
        <x:f>IF(D19&lt;Asumsi!$B$11,"GAGAL - SAMPEL KURANG",IF(H19&lt;=Asumsi!$B$12,"LOLOS - PROKSIONAL","PERLU PECAH ZNT - CV TINGGI"))</x:f>
        <x:v>PERLU PECAH ZNT - CV TINGGI</x:v>
      </x:c>
      <x:c r="N19" s="70" t="str">
        <x:f>IF(D19&lt;Asumsi!$B$11,"ASUMSI CADANGAN","PROKSI IKLAN")</x:f>
        <x:v>PROKSI IKLAN</x:v>
      </x:c>
      <x:c r="O19" s="63" t="str">
        <x:v>Tidak terbaca</x:v>
      </x:c>
      <x:c r="P19" s="63" t="str">
        <x:v>https://www.rumah123.com/jual/surabaya/krembangan/tanah/</x:v>
      </x:c>
      <x:c r="Q19" s="64"/>
    </x:row>
    <x:row r="20">
      <x:c r="A20" s="63" t="str">
        <x:v>Lakarsantri</x:v>
      </x:c>
      <x:c r="B20" s="63" t="str">
        <x:v>ADM-Lakarsantri</x:v>
      </x:c>
      <x:c r="C20" s="86" t="n">
        <x:f>COUNTA(Sampel_Harga!F72:F76)</x:f>
        <x:v>5</x:v>
      </x:c>
      <x:c r="D20" s="86" t="n">
        <x:f>COUNTIF(Sampel_Harga!K72:K76,"VALID")</x:f>
        <x:v>5</x:v>
      </x:c>
      <x:c r="E20" s="75" t="n">
        <x:f>IF(D20&gt;=Asumsi!$B$11,AVERAGE(Sampel_Harga!L72:L76),"")</x:f>
        <x:v>13380227.804710645</x:v>
      </x:c>
      <x:c r="F20" s="75" t="n">
        <x:f>IF(D20&gt;=Asumsi!$B$11,MEDIAN(Sampel_Harga!L72:L76),"")</x:f>
        <x:v>13049637.000693087</x:v>
      </x:c>
      <x:c r="G20" s="75" t="n">
        <x:f>IF(D20&gt;=Asumsi!$B$11,STDEV.S(Sampel_Harga!L72:L76),"")</x:f>
        <x:v>4917249.139203936</x:v>
      </x:c>
      <x:c r="H20" s="76" t="n">
        <x:f>IFERROR(G20/E20,"")</x:f>
        <x:v>0.36750115251944876</x:v>
      </x:c>
      <x:c r="I20" s="75" t="n">
        <x:f>IF(D20&gt;=Asumsi!$B$11,MIN(Sampel_Harga!L72:L76),"")</x:f>
        <x:v>5654842.700300338</x:v>
      </x:c>
      <x:c r="J20" s="75" t="n">
        <x:f>IF(D20&gt;=Asumsi!$B$11,MAX(Sampel_Harga!L72:L76),"")</x:f>
        <x:v>18269491.800970323</x:v>
      </x:c>
      <x:c r="K20" s="75" t="n">
        <x:f>IF(D20&gt;=Asumsi!$B$11,IF(Asumsi!$B$13="Median",F20,E20),"")</x:f>
        <x:v>13049637.000693087</x:v>
      </x:c>
      <x:c r="L20" s="75" t="n">
        <x:f>IF(K20="","",ROUND(K20/Asumsi!$B$16,0)*Asumsi!$B$16)</x:f>
        <x:v>13000000</x:v>
      </x:c>
      <x:c r="M20" s="70" t="str">
        <x:f>IF(D20&lt;Asumsi!$B$11,"GAGAL - SAMPEL KURANG",IF(H20&lt;=Asumsi!$B$12,"LOLOS - PROKSIONAL","PERLU PECAH ZNT - CV TINGGI"))</x:f>
        <x:v>PERLU PECAH ZNT - CV TINGGI</x:v>
      </x:c>
      <x:c r="N20" s="70" t="str">
        <x:f>IF(D20&lt;Asumsi!$B$11,"ASUMSI CADANGAN","PROKSI IKLAN")</x:f>
        <x:v>PROKSI IKLAN</x:v>
      </x:c>
      <x:c r="O20" s="63" t="n">
        <x:v>201</x:v>
      </x:c>
      <x:c r="P20" s="63" t="str">
        <x:v>https://www.rumah123.com/jual/surabaya/lakarsantri/tanah/</x:v>
      </x:c>
      <x:c r="Q20" s="64"/>
    </x:row>
    <x:row r="21">
      <x:c r="A21" s="63" t="str">
        <x:v>Mulyorejo</x:v>
      </x:c>
      <x:c r="B21" s="63" t="str">
        <x:v>ADM-Mulyorejo</x:v>
      </x:c>
      <x:c r="C21" s="86" t="n">
        <x:f>COUNTA(Sampel_Harga!F77:F81)</x:f>
        <x:v>5</x:v>
      </x:c>
      <x:c r="D21" s="86" t="n">
        <x:f>COUNTIF(Sampel_Harga!K77:K81,"VALID")</x:f>
        <x:v>5</x:v>
      </x:c>
      <x:c r="E21" s="75" t="n">
        <x:f>IF(D21&gt;=Asumsi!$B$11,AVERAGE(Sampel_Harga!L77:L81),"")</x:f>
        <x:v>20740223.073101547</x:v>
      </x:c>
      <x:c r="F21" s="75" t="n">
        <x:f>IF(D21&gt;=Asumsi!$B$11,MEDIAN(Sampel_Harga!L77:L81),"")</x:f>
        <x:v>19574455.50103963</x:v>
      </x:c>
      <x:c r="G21" s="75" t="n">
        <x:f>IF(D21&gt;=Asumsi!$B$11,STDEV.S(Sampel_Harga!L77:L81),"")</x:f>
        <x:v>7560435.081912748</x:v>
      </x:c>
      <x:c r="H21" s="76" t="n">
        <x:f>IFERROR(G21/E21,"")</x:f>
        <x:v>0.3645300754608586</x:v>
      </x:c>
      <x:c r="I21" s="75" t="n">
        <x:f>IF(D21&gt;=Asumsi!$B$11,MIN(Sampel_Harga!L77:L81),"")</x:f>
        <x:v>11831670.8806284</x:v>
      </x:c>
      <x:c r="J21" s="75" t="n">
        <x:f>IF(D21&gt;=Asumsi!$B$11,MAX(Sampel_Harga!L77:L81),"")</x:f>
        <x:v>30449153.001617204</x:v>
      </x:c>
      <x:c r="K21" s="75" t="n">
        <x:f>IF(D21&gt;=Asumsi!$B$11,IF(Asumsi!$B$13="Median",F21,E21),"")</x:f>
        <x:v>19574455.50103963</x:v>
      </x:c>
      <x:c r="L21" s="75" t="n">
        <x:f>IF(K21="","",ROUND(K21/Asumsi!$B$16,0)*Asumsi!$B$16)</x:f>
        <x:v>19600000</x:v>
      </x:c>
      <x:c r="M21" s="70" t="str">
        <x:f>IF(D21&lt;Asumsi!$B$11,"GAGAL - SAMPEL KURANG",IF(H21&lt;=Asumsi!$B$12,"LOLOS - PROKSIONAL","PERLU PECAH ZNT - CV TINGGI"))</x:f>
        <x:v>PERLU PECAH ZNT - CV TINGGI</x:v>
      </x:c>
      <x:c r="N21" s="70" t="str">
        <x:f>IF(D21&lt;Asumsi!$B$11,"ASUMSI CADANGAN","PROKSI IKLAN")</x:f>
        <x:v>PROKSI IKLAN</x:v>
      </x:c>
      <x:c r="O21" s="63" t="n">
        <x:v>214</x:v>
      </x:c>
      <x:c r="P21" s="63" t="str">
        <x:v>https://www.rumah123.com/jual/surabaya/mulyorejo/tanah/</x:v>
      </x:c>
      <x:c r="Q21" s="64"/>
    </x:row>
    <x:row r="22">
      <x:c r="A22" s="63" t="str">
        <x:v>Pabean Cantian</x:v>
      </x:c>
      <x:c r="B22" s="63" t="str">
        <x:v>ADM-Pabean Cantian</x:v>
      </x:c>
      <x:c r="C22" s="86" t="n">
        <x:f>COUNTA(Sampel_Harga!F82:F86)</x:f>
        <x:v>5</x:v>
      </x:c>
      <x:c r="D22" s="86" t="n">
        <x:f>COUNTIF(Sampel_Harga!K82:K86,"VALID")</x:f>
        <x:v>3</x:v>
      </x:c>
      <x:c r="E22" s="75" t="n">
        <x:f>IF(D22&gt;=Asumsi!$B$11,AVERAGE(Sampel_Harga!L82:L86),"")</x:f>
        <x:v>4926962.947595012</x:v>
      </x:c>
      <x:c r="F22" s="75" t="n">
        <x:f>IF(D22&gt;=Asumsi!$B$11,MEDIAN(Sampel_Harga!L82:L86),"")</x:f>
        <x:v>5011060.608266146</x:v>
      </x:c>
      <x:c r="G22" s="75" t="n">
        <x:f>IF(D22&gt;=Asumsi!$B$11,STDEV.S(Sampel_Harga!L82:L86),"")</x:f>
        <x:v>342767.5211250201</x:v>
      </x:c>
      <x:c r="H22" s="76" t="n">
        <x:f>IFERROR(G22/E22,"")</x:f>
        <x:v>0.06956973794421054</x:v>
      </x:c>
      <x:c r="I22" s="75" t="n">
        <x:f>IF(D22&gt;=Asumsi!$B$11,MIN(Sampel_Harga!L82:L86),"")</x:f>
        <x:v>4549973.434241656</x:v>
      </x:c>
      <x:c r="J22" s="75" t="n">
        <x:f>IF(D22&gt;=Asumsi!$B$11,MAX(Sampel_Harga!L82:L86),"")</x:f>
        <x:v>5219854.800277235</x:v>
      </x:c>
      <x:c r="K22" s="75" t="n">
        <x:f>IF(D22&gt;=Asumsi!$B$11,IF(Asumsi!$B$13="Median",F22,E22),"")</x:f>
        <x:v>5011060.608266146</x:v>
      </x:c>
      <x:c r="L22" s="75" t="n">
        <x:f>IF(K22="","",ROUND(K22/Asumsi!$B$16,0)*Asumsi!$B$16)</x:f>
        <x:v>5000000</x:v>
      </x:c>
      <x:c r="M22" s="70" t="str">
        <x:f>IF(D22&lt;Asumsi!$B$11,"GAGAL - SAMPEL KURANG",IF(H22&lt;=Asumsi!$B$12,"LOLOS - PROKSIONAL","PERLU PECAH ZNT - CV TINGGI"))</x:f>
        <x:v>LOLOS - PROKSIONAL</x:v>
      </x:c>
      <x:c r="N22" s="70" t="str">
        <x:f>IF(D22&lt;Asumsi!$B$11,"ASUMSI CADANGAN","PROKSI IKLAN")</x:f>
        <x:v>PROKSI IKLAN</x:v>
      </x:c>
      <x:c r="O22" s="63" t="n">
        <x:v>10</x:v>
      </x:c>
      <x:c r="P22" s="63" t="str">
        <x:v>https://www.rumah123.com/jual/surabaya/pabean-cantikan/tanah/</x:v>
      </x:c>
      <x:c r="Q22" s="64"/>
    </x:row>
    <x:row r="23">
      <x:c r="A23" s="63" t="str">
        <x:v>Pakal</x:v>
      </x:c>
      <x:c r="B23" s="63" t="str">
        <x:v>ADM-Pakal</x:v>
      </x:c>
      <x:c r="C23" s="86" t="n">
        <x:f>COUNTA(Sampel_Harga!F87:F91)</x:f>
        <x:v>5</x:v>
      </x:c>
      <x:c r="D23" s="86" t="n">
        <x:f>COUNTIF(Sampel_Harga!K87:K91,"VALID")</x:f>
        <x:v>4</x:v>
      </x:c>
      <x:c r="E23" s="75" t="n">
        <x:f>IF(D23&gt;=Asumsi!$B$11,AVERAGE(Sampel_Harga!L87:L91),"")</x:f>
        <x:v>7112052.165377733</x:v>
      </x:c>
      <x:c r="F23" s="75" t="n">
        <x:f>IF(D23&gt;=Asumsi!$B$11,MEDIAN(Sampel_Harga!L87:L91),"")</x:f>
        <x:v>7612288.250404301</x:v>
      </x:c>
      <x:c r="G23" s="75" t="n">
        <x:f>IF(D23&gt;=Asumsi!$B$11,STDEV.S(Sampel_Harga!L87:L91),"")</x:f>
        <x:v>1561721.6650595267</x:v>
      </x:c>
      <x:c r="H23" s="76" t="n">
        <x:f>IFERROR(G23/E23,"")</x:f>
        <x:v>0.21958804979836377</x:v>
      </x:c>
      <x:c r="I23" s="75" t="n">
        <x:f>IF(D23&gt;=Asumsi!$B$11,MIN(Sampel_Harga!L87:L91),"")</x:f>
        <x:v>4958862.060263373</x:v>
      </x:c>
      <x:c r="J23" s="75" t="n">
        <x:f>IF(D23&gt;=Asumsi!$B$11,MAX(Sampel_Harga!L87:L91),"")</x:f>
        <x:v>8264770.100438955</x:v>
      </x:c>
      <x:c r="K23" s="75" t="n">
        <x:f>IF(D23&gt;=Asumsi!$B$11,IF(Asumsi!$B$13="Median",F23,E23),"")</x:f>
        <x:v>7612288.250404301</x:v>
      </x:c>
      <x:c r="L23" s="75" t="n">
        <x:f>IF(K23="","",ROUND(K23/Asumsi!$B$16,0)*Asumsi!$B$16)</x:f>
        <x:v>7600000</x:v>
      </x:c>
      <x:c r="M23" s="70" t="str">
        <x:f>IF(D23&lt;Asumsi!$B$11,"GAGAL - SAMPEL KURANG",IF(H23&lt;=Asumsi!$B$12,"LOLOS - PROKSIONAL","PERLU PECAH ZNT - CV TINGGI"))</x:f>
        <x:v>LOLOS - PROKSIONAL</x:v>
      </x:c>
      <x:c r="N23" s="70" t="str">
        <x:f>IF(D23&lt;Asumsi!$B$11,"ASUMSI CADANGAN","PROKSI IKLAN")</x:f>
        <x:v>PROKSI IKLAN</x:v>
      </x:c>
      <x:c r="O23" s="63" t="n">
        <x:v>114</x:v>
      </x:c>
      <x:c r="P23" s="63" t="str">
        <x:v>https://www.rumah123.com/jual/surabaya/pakal/tanah/</x:v>
      </x:c>
      <x:c r="Q23" s="64"/>
    </x:row>
    <x:row r="24">
      <x:c r="A24" s="63" t="str">
        <x:v>Rungkut</x:v>
      </x:c>
      <x:c r="B24" s="63" t="str">
        <x:v>ADM-Rungkut</x:v>
      </x:c>
      <x:c r="C24" s="86" t="n">
        <x:f>COUNTA(Sampel_Harga!F92:F96)</x:f>
        <x:v>5</x:v>
      </x:c>
      <x:c r="D24" s="86" t="n">
        <x:f>COUNTIF(Sampel_Harga!K92:K96,"VALID")</x:f>
        <x:v>5</x:v>
      </x:c>
      <x:c r="E24" s="75" t="n">
        <x:f>IF(D24&gt;=Asumsi!$B$11,AVERAGE(Sampel_Harga!L92:L96),"")</x:f>
        <x:v>15400311.612417936</x:v>
      </x:c>
      <x:c r="F24" s="75" t="n">
        <x:f>IF(D24&gt;=Asumsi!$B$11,MEDIAN(Sampel_Harga!L92:L96),"")</x:f>
        <x:v>15224576.500808602</x:v>
      </x:c>
      <x:c r="G24" s="75" t="n">
        <x:f>IF(D24&gt;=Asumsi!$B$11,STDEV.S(Sampel_Harga!L92:L96),"")</x:f>
        <x:v>6289781.84166652</x:v>
      </x:c>
      <x:c r="H24" s="76" t="n">
        <x:f>IFERROR(G24/E24,"")</x:f>
        <x:v>0.40841912812951114</x:v>
      </x:c>
      <x:c r="I24" s="75" t="n">
        <x:f>IF(D24&gt;=Asumsi!$B$11,MIN(Sampel_Harga!L92:L96),"")</x:f>
        <x:v>6794510.998360868</x:v>
      </x:c>
      <x:c r="J24" s="75" t="n">
        <x:f>IF(D24&gt;=Asumsi!$B$11,MAX(Sampel_Harga!L92:L96),"")</x:f>
        <x:v>24359322.401293762</x:v>
      </x:c>
      <x:c r="K24" s="75" t="n">
        <x:f>IF(D24&gt;=Asumsi!$B$11,IF(Asumsi!$B$13="Median",F24,E24),"")</x:f>
        <x:v>15224576.500808602</x:v>
      </x:c>
      <x:c r="L24" s="75" t="n">
        <x:f>IF(K24="","",ROUND(K24/Asumsi!$B$16,0)*Asumsi!$B$16)</x:f>
        <x:v>15200000</x:v>
      </x:c>
      <x:c r="M24" s="70" t="str">
        <x:f>IF(D24&lt;Asumsi!$B$11,"GAGAL - SAMPEL KURANG",IF(H24&lt;=Asumsi!$B$12,"LOLOS - PROKSIONAL","PERLU PECAH ZNT - CV TINGGI"))</x:f>
        <x:v>PERLU PECAH ZNT - CV TINGGI</x:v>
      </x:c>
      <x:c r="N24" s="70" t="str">
        <x:f>IF(D24&lt;Asumsi!$B$11,"ASUMSI CADANGAN","PROKSI IKLAN")</x:f>
        <x:v>PROKSI IKLAN</x:v>
      </x:c>
      <x:c r="O24" s="63" t="n">
        <x:v>453</x:v>
      </x:c>
      <x:c r="P24" s="63" t="str">
        <x:v>https://www.rumah123.com/jual/surabaya/rungkut/tanah/</x:v>
      </x:c>
      <x:c r="Q24" s="64"/>
    </x:row>
    <x:row r="25">
      <x:c r="A25" s="63" t="str">
        <x:v>Sambikerep</x:v>
      </x:c>
      <x:c r="B25" s="63" t="str">
        <x:v>ADM-Sambikerep</x:v>
      </x:c>
      <x:c r="C25" s="86" t="n">
        <x:f>COUNTA(Sampel_Harga!F97:F101)</x:f>
        <x:v>5</x:v>
      </x:c>
      <x:c r="D25" s="86" t="n">
        <x:f>COUNTIF(Sampel_Harga!K97:K101,"VALID")</x:f>
        <x:v>5</x:v>
      </x:c>
      <x:c r="E25" s="75" t="n">
        <x:f>IF(D25&gt;=Asumsi!$B$11,AVERAGE(Sampel_Harga!L97:L101),"")</x:f>
        <x:v>14528595.860771636</x:v>
      </x:c>
      <x:c r="F25" s="75" t="n">
        <x:f>IF(D25&gt;=Asumsi!$B$11,MEDIAN(Sampel_Harga!L97:L101),"")</x:f>
        <x:v>13049637.000693087</x:v>
      </x:c>
      <x:c r="G25" s="75" t="n">
        <x:f>IF(D25&gt;=Asumsi!$B$11,STDEV.S(Sampel_Harga!L97:L101),"")</x:f>
        <x:v>3363781.4279999286</x:v>
      </x:c>
      <x:c r="H25" s="76" t="n">
        <x:f>IFERROR(G25/E25,"")</x:f>
        <x:v>0.23152832250516417</x:v>
      </x:c>
      <x:c r="I25" s="75" t="n">
        <x:f>IF(D25&gt;=Asumsi!$B$11,MIN(Sampel_Harga!L97:L101),"")</x:f>
        <x:v>12179661.200646881</x:v>
      </x:c>
      <x:c r="J25" s="75" t="n">
        <x:f>IF(D25&gt;=Asumsi!$B$11,MAX(Sampel_Harga!L97:L101),"")</x:f>
        <x:v>20444431.301085837</x:v>
      </x:c>
      <x:c r="K25" s="75" t="n">
        <x:f>IF(D25&gt;=Asumsi!$B$11,IF(Asumsi!$B$13="Median",F25,E25),"")</x:f>
        <x:v>13049637.000693087</x:v>
      </x:c>
      <x:c r="L25" s="75" t="n">
        <x:f>IF(K25="","",ROUND(K25/Asumsi!$B$16,0)*Asumsi!$B$16)</x:f>
        <x:v>13000000</x:v>
      </x:c>
      <x:c r="M25" s="70" t="str">
        <x:f>IF(D25&lt;Asumsi!$B$11,"GAGAL - SAMPEL KURANG",IF(H25&lt;=Asumsi!$B$12,"LOLOS - PROKSIONAL","PERLU PECAH ZNT - CV TINGGI"))</x:f>
        <x:v>LOLOS - PROKSIONAL</x:v>
      </x:c>
      <x:c r="N25" s="70" t="str">
        <x:f>IF(D25&lt;Asumsi!$B$11,"ASUMSI CADANGAN","PROKSI IKLAN")</x:f>
        <x:v>PROKSI IKLAN</x:v>
      </x:c>
      <x:c r="O25" s="63" t="n">
        <x:v>354</x:v>
      </x:c>
      <x:c r="P25" s="63" t="str">
        <x:v>https://www.rumah123.com/jual/surabaya/sambikerep/tanah/</x:v>
      </x:c>
      <x:c r="Q25" s="64"/>
    </x:row>
    <x:row r="26">
      <x:c r="A26" s="63" t="str">
        <x:v>Sawahan</x:v>
      </x:c>
      <x:c r="B26" s="63" t="str">
        <x:v>ADM-Sawahan</x:v>
      </x:c>
      <x:c r="C26" s="86" t="n">
        <x:f>COUNTA(Sampel_Harga!F102:F106)</x:f>
        <x:v>5</x:v>
      </x:c>
      <x:c r="D26" s="86" t="n">
        <x:f>COUNTIF(Sampel_Harga!K102:K106,"VALID")</x:f>
        <x:v>5</x:v>
      </x:c>
      <x:c r="E26" s="75" t="n">
        <x:f>IF(D26&gt;=Asumsi!$B$11,AVERAGE(Sampel_Harga!L102:L106),"")</x:f>
        <x:v>13938752.26834031</x:v>
      </x:c>
      <x:c r="F26" s="75" t="n">
        <x:f>IF(D26&gt;=Asumsi!$B$11,MEDIAN(Sampel_Harga!L102:L106),"")</x:f>
        <x:v>16442542.62087329</x:v>
      </x:c>
      <x:c r="G26" s="75" t="n">
        <x:f>IF(D26&gt;=Asumsi!$B$11,STDEV.S(Sampel_Harga!L102:L106),"")</x:f>
        <x:v>4079845.175472517</x:v>
      </x:c>
      <x:c r="H26" s="76" t="n">
        <x:f>IFERROR(G26/E26,"")</x:f>
        <x:v>0.2926980189424304</x:v>
      </x:c>
      <x:c r="I26" s="75" t="n">
        <x:f>IF(D26&gt;=Asumsi!$B$11,MIN(Sampel_Harga!L102:L106),"")</x:f>
        <x:v>7055503.73837473</x:v>
      </x:c>
      <x:c r="J26" s="75" t="n">
        <x:f>IF(D26&gt;=Asumsi!$B$11,MAX(Sampel_Harga!L102:L106),"")</x:f>
        <x:v>16442542.62087329</x:v>
      </x:c>
      <x:c r="K26" s="75" t="n">
        <x:f>IF(D26&gt;=Asumsi!$B$11,IF(Asumsi!$B$13="Median",F26,E26),"")</x:f>
        <x:v>16442542.62087329</x:v>
      </x:c>
      <x:c r="L26" s="75" t="n">
        <x:f>IF(K26="","",ROUND(K26/Asumsi!$B$16,0)*Asumsi!$B$16)</x:f>
        <x:v>16400000</x:v>
      </x:c>
      <x:c r="M26" s="70" t="str">
        <x:f>IF(D26&lt;Asumsi!$B$11,"GAGAL - SAMPEL KURANG",IF(H26&lt;=Asumsi!$B$12,"LOLOS - PROKSIONAL","PERLU PECAH ZNT - CV TINGGI"))</x:f>
        <x:v>LOLOS - PROKSIONAL</x:v>
      </x:c>
      <x:c r="N26" s="70" t="str">
        <x:f>IF(D26&lt;Asumsi!$B$11,"ASUMSI CADANGAN","PROKSI IKLAN")</x:f>
        <x:v>PROKSI IKLAN</x:v>
      </x:c>
      <x:c r="O26" s="63" t="n">
        <x:v>22</x:v>
      </x:c>
      <x:c r="P26" s="63" t="str">
        <x:v>https://www.rumah123.com/jual/surabaya/sawahan/tanah/</x:v>
      </x:c>
      <x:c r="Q26" s="64"/>
    </x:row>
    <x:row r="27">
      <x:c r="A27" s="63" t="str">
        <x:v>Semampir</x:v>
      </x:c>
      <x:c r="B27" s="63" t="str">
        <x:v>ADM-Semampir</x:v>
      </x:c>
      <x:c r="C27" s="86" t="n">
        <x:f>COUNTA(Sampel_Harga!F107:F111)</x:f>
        <x:v>5</x:v>
      </x:c>
      <x:c r="D27" s="86" t="n">
        <x:f>COUNTIF(Sampel_Harga!K107:K111,"VALID")</x:f>
        <x:v>5</x:v>
      </x:c>
      <x:c r="E27" s="75" t="n">
        <x:f>IF(D27&gt;=Asumsi!$B$11,AVERAGE(Sampel_Harga!L107:L111),"")</x:f>
        <x:v>6919787.51356752</x:v>
      </x:c>
      <x:c r="F27" s="75" t="n">
        <x:f>IF(D27&gt;=Asumsi!$B$11,MEDIAN(Sampel_Harga!L107:L111),"")</x:f>
        <x:v>5794038.828307731</x:v>
      </x:c>
      <x:c r="G27" s="75" t="n">
        <x:f>IF(D27&gt;=Asumsi!$B$11,STDEV.S(Sampel_Harga!L107:L111),"")</x:f>
        <x:v>3463091.6329848417</x:v>
      </x:c>
      <x:c r="H27" s="76" t="n">
        <x:f>IFERROR(G27/E27,"")</x:f>
        <x:v>0.5004621350286858</x:v>
      </x:c>
      <x:c r="I27" s="75" t="n">
        <x:f>IF(D27&gt;=Asumsi!$B$11,MIN(Sampel_Harga!L107:L111),"")</x:f>
        <x:v>4567372.950242581</x:v>
      </x:c>
      <x:c r="J27" s="75" t="n">
        <x:f>IF(D27&gt;=Asumsi!$B$11,MAX(Sampel_Harga!L107:L111),"")</x:f>
        <x:v>13049637.000693087</x:v>
      </x:c>
      <x:c r="K27" s="75" t="n">
        <x:f>IF(D27&gt;=Asumsi!$B$11,IF(Asumsi!$B$13="Median",F27,E27),"")</x:f>
        <x:v>5794038.828307731</x:v>
      </x:c>
      <x:c r="L27" s="75" t="n">
        <x:f>IF(K27="","",ROUND(K27/Asumsi!$B$16,0)*Asumsi!$B$16)</x:f>
        <x:v>5800000</x:v>
      </x:c>
      <x:c r="M27" s="70" t="str">
        <x:f>IF(D27&lt;Asumsi!$B$11,"GAGAL - SAMPEL KURANG",IF(H27&lt;=Asumsi!$B$12,"LOLOS - PROKSIONAL","PERLU PECAH ZNT - CV TINGGI"))</x:f>
        <x:v>PERLU PECAH ZNT - CV TINGGI</x:v>
      </x:c>
      <x:c r="N27" s="70" t="str">
        <x:f>IF(D27&lt;Asumsi!$B$11,"ASUMSI CADANGAN","PROKSI IKLAN")</x:f>
        <x:v>PROKSI IKLAN</x:v>
      </x:c>
      <x:c r="O27" s="63" t="n">
        <x:v>24</x:v>
      </x:c>
      <x:c r="P27" s="63" t="str">
        <x:v>https://www.rumah123.com/jual/surabaya/semampir/tanah/</x:v>
      </x:c>
      <x:c r="Q27" s="64"/>
    </x:row>
    <x:row r="28">
      <x:c r="A28" s="63" t="str">
        <x:v>Simokerto</x:v>
      </x:c>
      <x:c r="B28" s="63" t="str">
        <x:v>ADM-Simokerto</x:v>
      </x:c>
      <x:c r="C28" s="86" t="n">
        <x:f>COUNTA(Sampel_Harga!F112:F116)</x:f>
        <x:v>5</x:v>
      </x:c>
      <x:c r="D28" s="86" t="n">
        <x:f>COUNTIF(Sampel_Harga!K112:K116,"VALID")</x:f>
        <x:v>5</x:v>
      </x:c>
      <x:c r="E28" s="75" t="n">
        <x:f>IF(D28&gt;=Asumsi!$B$11,AVERAGE(Sampel_Harga!L112:L116),"")</x:f>
        <x:v>5684421.87750191</x:v>
      </x:c>
      <x:c r="F28" s="75" t="n">
        <x:f>IF(D28&gt;=Asumsi!$B$11,MEDIAN(Sampel_Harga!L112:L116),"")</x:f>
        <x:v>6089830.6003234405</x:v>
      </x:c>
      <x:c r="G28" s="75" t="n">
        <x:f>IF(D28&gt;=Asumsi!$B$11,STDEV.S(Sampel_Harga!L112:L116),"")</x:f>
        <x:v>1156374.242018776</x:v>
      </x:c>
      <x:c r="H28" s="76" t="n">
        <x:f>IFERROR(G28/E28,"")</x:f>
        <x:v>0.2034286453290056</x:v>
      </x:c>
      <x:c r="I28" s="75" t="n">
        <x:f>IF(D28&gt;=Asumsi!$B$11,MIN(Sampel_Harga!L112:L116),"")</x:f>
        <x:v>4349879.0002310295</x:v>
      </x:c>
      <x:c r="J28" s="75" t="n">
        <x:f>IF(D28&gt;=Asumsi!$B$11,MAX(Sampel_Harga!L112:L116),"")</x:f>
        <x:v>6959806.400369647</x:v>
      </x:c>
      <x:c r="K28" s="75" t="n">
        <x:f>IF(D28&gt;=Asumsi!$B$11,IF(Asumsi!$B$13="Median",F28,E28),"")</x:f>
        <x:v>6089830.6003234405</x:v>
      </x:c>
      <x:c r="L28" s="75" t="n">
        <x:f>IF(K28="","",ROUND(K28/Asumsi!$B$16,0)*Asumsi!$B$16)</x:f>
        <x:v>6100000</x:v>
      </x:c>
      <x:c r="M28" s="70" t="str">
        <x:f>IF(D28&lt;Asumsi!$B$11,"GAGAL - SAMPEL KURANG",IF(H28&lt;=Asumsi!$B$12,"LOLOS - PROKSIONAL","PERLU PECAH ZNT - CV TINGGI"))</x:f>
        <x:v>LOLOS - PROKSIONAL</x:v>
      </x:c>
      <x:c r="N28" s="70" t="str">
        <x:f>IF(D28&lt;Asumsi!$B$11,"ASUMSI CADANGAN","PROKSI IKLAN")</x:f>
        <x:v>PROKSI IKLAN</x:v>
      </x:c>
      <x:c r="O28" s="63" t="str">
        <x:v>Tidak terbaca</x:v>
      </x:c>
      <x:c r="P28" s="63" t="str">
        <x:v>https://www.rumah123.com/jual/surabaya/simokerto/tanah/</x:v>
      </x:c>
      <x:c r="Q28" s="64"/>
    </x:row>
    <x:row r="29">
      <x:c r="A29" s="63" t="str">
        <x:v>Sukolilo</x:v>
      </x:c>
      <x:c r="B29" s="63" t="str">
        <x:v>ADM-Sukolilo</x:v>
      </x:c>
      <x:c r="C29" s="86" t="n">
        <x:f>COUNTA(Sampel_Harga!F117:F121)</x:f>
        <x:v>5</x:v>
      </x:c>
      <x:c r="D29" s="86" t="n">
        <x:f>COUNTIF(Sampel_Harga!K117:K121,"VALID")</x:f>
        <x:v>5</x:v>
      </x:c>
      <x:c r="E29" s="75" t="n">
        <x:f>IF(D29&gt;=Asumsi!$B$11,AVERAGE(Sampel_Harga!L117:L121),"")</x:f>
        <x:v>9465336.70450272</x:v>
      </x:c>
      <x:c r="F29" s="75" t="n">
        <x:f>IF(D29&gt;=Asumsi!$B$11,MEDIAN(Sampel_Harga!L117:L121),"")</x:f>
        <x:v>9134745.900485162</x:v>
      </x:c>
      <x:c r="G29" s="75" t="n">
        <x:f>IF(D29&gt;=Asumsi!$B$11,STDEV.S(Sampel_Harga!L117:L121),"")</x:f>
        <x:v>2139326.921475892</x:v>
      </x:c>
      <x:c r="H29" s="76" t="n">
        <x:f>IFERROR(G29/E29,"")</x:f>
        <x:v>0.2260169910763133</x:v>
      </x:c>
      <x:c r="I29" s="75" t="n">
        <x:f>IF(D29&gt;=Asumsi!$B$11,MIN(Sampel_Harga!L117:L121),"")</x:f>
        <x:v>7307796.720388128</x:v>
      </x:c>
      <x:c r="J29" s="75" t="n">
        <x:f>IF(D29&gt;=Asumsi!$B$11,MAX(Sampel_Harga!L117:L121),"")</x:f>
        <x:v>13049637.000693087</x:v>
      </x:c>
      <x:c r="K29" s="75" t="n">
        <x:f>IF(D29&gt;=Asumsi!$B$11,IF(Asumsi!$B$13="Median",F29,E29),"")</x:f>
        <x:v>9134745.900485162</x:v>
      </x:c>
      <x:c r="L29" s="75" t="n">
        <x:f>IF(K29="","",ROUND(K29/Asumsi!$B$16,0)*Asumsi!$B$16)</x:f>
        <x:v>9100000</x:v>
      </x:c>
      <x:c r="M29" s="70" t="str">
        <x:f>IF(D29&lt;Asumsi!$B$11,"GAGAL - SAMPEL KURANG",IF(H29&lt;=Asumsi!$B$12,"LOLOS - PROKSIONAL","PERLU PECAH ZNT - CV TINGGI"))</x:f>
        <x:v>LOLOS - PROKSIONAL</x:v>
      </x:c>
      <x:c r="N29" s="70" t="str">
        <x:f>IF(D29&lt;Asumsi!$B$11,"ASUMSI CADANGAN","PROKSI IKLAN")</x:f>
        <x:v>PROKSI IKLAN</x:v>
      </x:c>
      <x:c r="O29" s="63" t="str">
        <x:v>Tidak terbaca</x:v>
      </x:c>
      <x:c r="P29" s="63" t="str">
        <x:v>https://www.rumah123.com/jual/surabaya/sukolilo/tanah/</x:v>
      </x:c>
      <x:c r="Q29" s="64"/>
    </x:row>
    <x:row r="30">
      <x:c r="A30" s="63" t="str">
        <x:v>Sukomanunggal</x:v>
      </x:c>
      <x:c r="B30" s="63" t="str">
        <x:v>ADM-Sukomanunggal</x:v>
      </x:c>
      <x:c r="C30" s="86" t="n">
        <x:f>COUNTA(Sampel_Harga!F122:F126)</x:f>
        <x:v>5</x:v>
      </x:c>
      <x:c r="D30" s="86" t="n">
        <x:f>COUNTIF(Sampel_Harga!K122:K126,"VALID")</x:f>
        <x:v>5</x:v>
      </x:c>
      <x:c r="E30" s="75" t="n">
        <x:f>IF(D30&gt;=Asumsi!$B$11,AVERAGE(Sampel_Harga!L122:L126),"")</x:f>
        <x:v>16529540.20087791</x:v>
      </x:c>
      <x:c r="F30" s="75" t="n">
        <x:f>IF(D30&gt;=Asumsi!$B$11,MEDIAN(Sampel_Harga!L122:L126),"")</x:f>
        <x:v>17399516.000924118</x:v>
      </x:c>
      <x:c r="G30" s="75" t="n">
        <x:f>IF(D30&gt;=Asumsi!$B$11,STDEV.S(Sampel_Harga!L122:L126),"")</x:f>
        <x:v>3587002.115321737</x:v>
      </x:c>
      <x:c r="H30" s="76" t="n">
        <x:f>IFERROR(G30/E30,"")</x:f>
        <x:v>0.2170055592430348</x:v>
      </x:c>
      <x:c r="I30" s="75" t="n">
        <x:f>IF(D30&gt;=Asumsi!$B$11,MIN(Sampel_Harga!L122:L126),"")</x:f>
        <x:v>10439709.60055447</x:v>
      </x:c>
      <x:c r="J30" s="75" t="n">
        <x:f>IF(D30&gt;=Asumsi!$B$11,MAX(Sampel_Harga!L122:L126),"")</x:f>
        <x:v>20009443.401062734</x:v>
      </x:c>
      <x:c r="K30" s="75" t="n">
        <x:f>IF(D30&gt;=Asumsi!$B$11,IF(Asumsi!$B$13="Median",F30,E30),"")</x:f>
        <x:v>17399516.000924118</x:v>
      </x:c>
      <x:c r="L30" s="75" t="n">
        <x:f>IF(K30="","",ROUND(K30/Asumsi!$B$16,0)*Asumsi!$B$16)</x:f>
        <x:v>17400000</x:v>
      </x:c>
      <x:c r="M30" s="70" t="str">
        <x:f>IF(D30&lt;Asumsi!$B$11,"GAGAL - SAMPEL KURANG",IF(H30&lt;=Asumsi!$B$12,"LOLOS - PROKSIONAL","PERLU PECAH ZNT - CV TINGGI"))</x:f>
        <x:v>LOLOS - PROKSIONAL</x:v>
      </x:c>
      <x:c r="N30" s="70" t="str">
        <x:f>IF(D30&lt;Asumsi!$B$11,"ASUMSI CADANGAN","PROKSI IKLAN")</x:f>
        <x:v>PROKSI IKLAN</x:v>
      </x:c>
      <x:c r="O30" s="63" t="str">
        <x:v>Tidak terbaca</x:v>
      </x:c>
      <x:c r="P30" s="63" t="str">
        <x:v>https://www.rumah123.com/jual/surabaya/sukomanunggal/tanah/</x:v>
      </x:c>
      <x:c r="Q30" s="64"/>
    </x:row>
    <x:row r="31">
      <x:c r="A31" s="63" t="str">
        <x:v>Tambaksari</x:v>
      </x:c>
      <x:c r="B31" s="63" t="str">
        <x:v>ADM-Tambaksari</x:v>
      </x:c>
      <x:c r="C31" s="86" t="n">
        <x:f>COUNTA(Sampel_Harga!F127:F131)</x:f>
        <x:v>5</x:v>
      </x:c>
      <x:c r="D31" s="86" t="n">
        <x:f>COUNTIF(Sampel_Harga!K127:K131,"VALID")</x:f>
        <x:v>3</x:v>
      </x:c>
      <x:c r="E31" s="75" t="n">
        <x:f>IF(D31&gt;=Asumsi!$B$11,AVERAGE(Sampel_Harga!L127:L131),"")</x:f>
        <x:v>20879419.20110894</x:v>
      </x:c>
      <x:c r="F31" s="75" t="n">
        <x:f>IF(D31&gt;=Asumsi!$B$11,MEDIAN(Sampel_Harga!L127:L131),"")</x:f>
        <x:v>21140411.9411228</x:v>
      </x:c>
      <x:c r="G31" s="75" t="n">
        <x:f>IF(D31&gt;=Asumsi!$B$11,STDEV.S(Sampel_Harga!L127:L131),"")</x:f>
        <x:v>3357024.578670414</x:v>
      </x:c>
      <x:c r="H31" s="76" t="n">
        <x:f>IFERROR(G31/E31,"")</x:f>
        <x:v>0.16078151151312278</x:v>
      </x:c>
      <x:c r="I31" s="75" t="n">
        <x:f>IF(D31&gt;=Asumsi!$B$11,MIN(Sampel_Harga!L127:L131),"")</x:f>
        <x:v>17399516.000924118</x:v>
      </x:c>
      <x:c r="J31" s="75" t="n">
        <x:f>IF(D31&gt;=Asumsi!$B$11,MAX(Sampel_Harga!L127:L131),"")</x:f>
        <x:v>24098329.6612799</x:v>
      </x:c>
      <x:c r="K31" s="75" t="n">
        <x:f>IF(D31&gt;=Asumsi!$B$11,IF(Asumsi!$B$13="Median",F31,E31),"")</x:f>
        <x:v>21140411.9411228</x:v>
      </x:c>
      <x:c r="L31" s="75" t="n">
        <x:f>IF(K31="","",ROUND(K31/Asumsi!$B$16,0)*Asumsi!$B$16)</x:f>
        <x:v>21100000</x:v>
      </x:c>
      <x:c r="M31" s="70" t="str">
        <x:f>IF(D31&lt;Asumsi!$B$11,"GAGAL - SAMPEL KURANG",IF(H31&lt;=Asumsi!$B$12,"LOLOS - PROKSIONAL","PERLU PECAH ZNT - CV TINGGI"))</x:f>
        <x:v>LOLOS - PROKSIONAL</x:v>
      </x:c>
      <x:c r="N31" s="70" t="str">
        <x:f>IF(D31&lt;Asumsi!$B$11,"ASUMSI CADANGAN","PROKSI IKLAN")</x:f>
        <x:v>PROKSI IKLAN</x:v>
      </x:c>
      <x:c r="O31" s="63" t="n">
        <x:v>92</x:v>
      </x:c>
      <x:c r="P31" s="63" t="str">
        <x:v>https://www.rumah123.com/jual/surabaya/tambaksari/tanah/</x:v>
      </x:c>
      <x:c r="Q31" s="64"/>
    </x:row>
    <x:row r="32">
      <x:c r="A32" s="63" t="str">
        <x:v>Tandes</x:v>
      </x:c>
      <x:c r="B32" s="63" t="str">
        <x:v>ADM-Tandes</x:v>
      </x:c>
      <x:c r="C32" s="86" t="n">
        <x:f>COUNTA(Sampel_Harga!F132:F136)</x:f>
        <x:v>5</x:v>
      </x:c>
      <x:c r="D32" s="86" t="n">
        <x:f>COUNTIF(Sampel_Harga!K132:K136,"VALID")</x:f>
        <x:v>5</x:v>
      </x:c>
      <x:c r="E32" s="75" t="n">
        <x:f>IF(D32&gt;=Asumsi!$B$11,AVERAGE(Sampel_Harga!L132:L136),"")</x:f>
        <x:v>7307796.720388129</x:v>
      </x:c>
      <x:c r="F32" s="75" t="n">
        <x:f>IF(D32&gt;=Asumsi!$B$11,MEDIAN(Sampel_Harga!L132:L136),"")</x:f>
        <x:v>6959806.400369647</x:v>
      </x:c>
      <x:c r="G32" s="75" t="n">
        <x:f>IF(D32&gt;=Asumsi!$B$11,STDEV.S(Sampel_Harga!L132:L136),"")</x:f>
        <x:v>1804020.2156472513</x:v>
      </x:c>
      <x:c r="H32" s="76" t="n">
        <x:f>IFERROR(G32/E32,"")</x:f>
        <x:v>0.24686239706342528</x:v>
      </x:c>
      <x:c r="I32" s="75" t="n">
        <x:f>IF(D32&gt;=Asumsi!$B$11,MIN(Sampel_Harga!L132:L136),"")</x:f>
        <x:v>5219854.800277235</x:v>
      </x:c>
      <x:c r="J32" s="75" t="n">
        <x:f>IF(D32&gt;=Asumsi!$B$11,MAX(Sampel_Harga!L132:L136),"")</x:f>
        <x:v>9569733.800508264</x:v>
      </x:c>
      <x:c r="K32" s="75" t="n">
        <x:f>IF(D32&gt;=Asumsi!$B$11,IF(Asumsi!$B$13="Median",F32,E32),"")</x:f>
        <x:v>6959806.400369647</x:v>
      </x:c>
      <x:c r="L32" s="75" t="n">
        <x:f>IF(K32="","",ROUND(K32/Asumsi!$B$16,0)*Asumsi!$B$16)</x:f>
        <x:v>7000000</x:v>
      </x:c>
      <x:c r="M32" s="70" t="str">
        <x:f>IF(D32&lt;Asumsi!$B$11,"GAGAL - SAMPEL KURANG",IF(H32&lt;=Asumsi!$B$12,"LOLOS - PROKSIONAL","PERLU PECAH ZNT - CV TINGGI"))</x:f>
        <x:v>LOLOS - PROKSIONAL</x:v>
      </x:c>
      <x:c r="N32" s="70" t="str">
        <x:f>IF(D32&lt;Asumsi!$B$11,"ASUMSI CADANGAN","PROKSI IKLAN")</x:f>
        <x:v>PROKSI IKLAN</x:v>
      </x:c>
      <x:c r="O32" s="63" t="n">
        <x:v>103</x:v>
      </x:c>
      <x:c r="P32" s="63" t="str">
        <x:v>https://www.rumah123.com/jual/surabaya/tandes/tanah/</x:v>
      </x:c>
      <x:c r="Q32" s="64"/>
    </x:row>
    <x:row r="33">
      <x:c r="A33" s="63" t="str">
        <x:v>Tegalsari</x:v>
      </x:c>
      <x:c r="B33" s="63" t="str">
        <x:v>ADM-Tegalsari</x:v>
      </x:c>
      <x:c r="C33" s="86" t="n">
        <x:f>COUNTA(Sampel_Harga!F137:F141)</x:f>
        <x:v>5</x:v>
      </x:c>
      <x:c r="D33" s="86" t="n">
        <x:f>COUNTIF(Sampel_Harga!K137:K141,"VALID")</x:f>
        <x:v>5</x:v>
      </x:c>
      <x:c r="E33" s="75" t="n">
        <x:f>IF(D33&gt;=Asumsi!$B$11,AVERAGE(Sampel_Harga!L137:L141),"")</x:f>
        <x:v>25438092.393351056</x:v>
      </x:c>
      <x:c r="F33" s="75" t="n">
        <x:f>IF(D33&gt;=Asumsi!$B$11,MEDIAN(Sampel_Harga!L137:L141),"")</x:f>
        <x:v>23141356.281229075</x:v>
      </x:c>
      <x:c r="G33" s="75" t="n">
        <x:f>IF(D33&gt;=Asumsi!$B$11,STDEV.S(Sampel_Harga!L137:L141),"")</x:f>
        <x:v>5921142.471007497</x:v>
      </x:c>
      <x:c r="H33" s="76" t="n">
        <x:f>IFERROR(G33/E33,"")</x:f>
        <x:v>0.23276676487562215</x:v>
      </x:c>
      <x:c r="I33" s="75" t="n">
        <x:f>IF(D33&gt;=Asumsi!$B$11,MIN(Sampel_Harga!L137:L141),"")</x:f>
        <x:v>19052470.021011908</x:v>
      </x:c>
      <x:c r="J33" s="75" t="n">
        <x:f>IF(D33&gt;=Asumsi!$B$11,MAX(Sampel_Harga!L137:L141),"")</x:f>
        <x:v>34712034.42184361</x:v>
      </x:c>
      <x:c r="K33" s="75" t="n">
        <x:f>IF(D33&gt;=Asumsi!$B$11,IF(Asumsi!$B$13="Median",F33,E33),"")</x:f>
        <x:v>23141356.281229075</x:v>
      </x:c>
      <x:c r="L33" s="75" t="n">
        <x:f>IF(K33="","",ROUND(K33/Asumsi!$B$16,0)*Asumsi!$B$16)</x:f>
        <x:v>23100000</x:v>
      </x:c>
      <x:c r="M33" s="70" t="str">
        <x:f>IF(D33&lt;Asumsi!$B$11,"GAGAL - SAMPEL KURANG",IF(H33&lt;=Asumsi!$B$12,"LOLOS - PROKSIONAL","PERLU PECAH ZNT - CV TINGGI"))</x:f>
        <x:v>LOLOS - PROKSIONAL</x:v>
      </x:c>
      <x:c r="N33" s="70" t="str">
        <x:f>IF(D33&lt;Asumsi!$B$11,"ASUMSI CADANGAN","PROKSI IKLAN")</x:f>
        <x:v>PROKSI IKLAN</x:v>
      </x:c>
      <x:c r="O33" s="63" t="n">
        <x:v>77</x:v>
      </x:c>
      <x:c r="P33" s="63" t="str">
        <x:v>https://www.rumah123.com/jual/surabaya/tegalsari/tanah/</x:v>
      </x:c>
      <x:c r="Q33" s="64"/>
    </x:row>
    <x:row r="34">
      <x:c r="A34" s="63" t="str">
        <x:v>Tenggilis Mejoyo</x:v>
      </x:c>
      <x:c r="B34" s="63" t="str">
        <x:v>ADM-Tenggilis Mejoyo</x:v>
      </x:c>
      <x:c r="C34" s="86" t="n">
        <x:f>COUNTA(Sampel_Harga!F142:F146)</x:f>
        <x:v>5</x:v>
      </x:c>
      <x:c r="D34" s="86" t="n">
        <x:f>COUNTIF(Sampel_Harga!K142:K146,"VALID")</x:f>
        <x:v>5</x:v>
      </x:c>
      <x:c r="E34" s="75" t="n">
        <x:f>IF(D34&gt;=Asumsi!$B$11,AVERAGE(Sampel_Harga!L142:L146),"")</x:f>
        <x:v>9717629.686516117</x:v>
      </x:c>
      <x:c r="F34" s="75" t="n">
        <x:f>IF(D34&gt;=Asumsi!$B$11,MEDIAN(Sampel_Harga!L142:L146),"")</x:f>
        <x:v>8264770.100438955</x:v>
      </x:c>
      <x:c r="G34" s="75" t="n">
        <x:f>IF(D34&gt;=Asumsi!$B$11,STDEV.S(Sampel_Harga!L142:L146),"")</x:f>
        <x:v>4088858.494937791</x:v>
      </x:c>
      <x:c r="H34" s="76" t="n">
        <x:f>IFERROR(G34/E34,"")</x:f>
        <x:v>0.42076706222005605</x:v>
      </x:c>
      <x:c r="I34" s="75" t="n">
        <x:f>IF(D34&gt;=Asumsi!$B$11,MIN(Sampel_Harga!L142:L146),"")</x:f>
        <x:v>7246898.414384894</x:v>
      </x:c>
      <x:c r="J34" s="75" t="n">
        <x:f>IF(D34&gt;=Asumsi!$B$11,MAX(Sampel_Harga!L142:L146),"")</x:f>
        <x:v>16964528.100901015</x:v>
      </x:c>
      <x:c r="K34" s="75" t="n">
        <x:f>IF(D34&gt;=Asumsi!$B$11,IF(Asumsi!$B$13="Median",F34,E34),"")</x:f>
        <x:v>8264770.100438955</x:v>
      </x:c>
      <x:c r="L34" s="75" t="n">
        <x:f>IF(K34="","",ROUND(K34/Asumsi!$B$16,0)*Asumsi!$B$16)</x:f>
        <x:v>8300000</x:v>
      </x:c>
      <x:c r="M34" s="70" t="str">
        <x:f>IF(D34&lt;Asumsi!$B$11,"GAGAL - SAMPEL KURANG",IF(H34&lt;=Asumsi!$B$12,"LOLOS - PROKSIONAL","PERLU PECAH ZNT - CV TINGGI"))</x:f>
        <x:v>PERLU PECAH ZNT - CV TINGGI</x:v>
      </x:c>
      <x:c r="N34" s="70" t="str">
        <x:f>IF(D34&lt;Asumsi!$B$11,"ASUMSI CADANGAN","PROKSI IKLAN")</x:f>
        <x:v>PROKSI IKLAN</x:v>
      </x:c>
      <x:c r="O34" s="63" t="n">
        <x:v>152</x:v>
      </x:c>
      <x:c r="P34" s="63" t="str">
        <x:v>https://www.rumah123.com/jual/surabaya/tenggilis-mejoyo/tanah/</x:v>
      </x:c>
      <x:c r="Q34" s="64"/>
    </x:row>
    <x:row r="35">
      <x:c r="A35" s="63" t="str">
        <x:v>Wiyung</x:v>
      </x:c>
      <x:c r="B35" s="63" t="str">
        <x:v>ADM-Wiyung</x:v>
      </x:c>
      <x:c r="C35" s="86" t="n">
        <x:f>COUNTA(Sampel_Harga!F147:F151)</x:f>
        <x:v>5</x:v>
      </x:c>
      <x:c r="D35" s="86" t="n">
        <x:f>COUNTIF(Sampel_Harga!K147:K151,"VALID")</x:f>
        <x:v>4</x:v>
      </x:c>
      <x:c r="E35" s="75" t="n">
        <x:f>IF(D35&gt;=Asumsi!$B$11,AVERAGE(Sampel_Harga!L147:L151),"")</x:f>
        <x:v>15942306.535846721</x:v>
      </x:c>
      <x:c r="F35" s="75" t="n">
        <x:f>IF(D35&gt;=Asumsi!$B$11,MEDIAN(Sampel_Harga!L147:L151),"")</x:f>
        <x:v>16486041.4108756</x:v>
      </x:c>
      <x:c r="G35" s="75" t="n">
        <x:f>IF(D35&gt;=Asumsi!$B$11,STDEV.S(Sampel_Harga!L147:L151),"")</x:f>
        <x:v>4696996.578272588</x:v>
      </x:c>
      <x:c r="H35" s="76" t="n">
        <x:f>IFERROR(G35/E35,"")</x:f>
        <x:v>0.2946246559562294</x:v>
      </x:c>
      <x:c r="I35" s="75" t="n">
        <x:f>IF(D35&gt;=Asumsi!$B$11,MIN(Sampel_Harga!L147:L151),"")</x:f>
        <x:v>10352712.020549849</x:v>
      </x:c>
      <x:c r="J35" s="75" t="n">
        <x:f>IF(D35&gt;=Asumsi!$B$11,MAX(Sampel_Harga!L147:L151),"")</x:f>
        <x:v>20444431.301085837</x:v>
      </x:c>
      <x:c r="K35" s="75" t="n">
        <x:f>IF(D35&gt;=Asumsi!$B$11,IF(Asumsi!$B$13="Median",F35,E35),"")</x:f>
        <x:v>16486041.4108756</x:v>
      </x:c>
      <x:c r="L35" s="75" t="n">
        <x:f>IF(K35="","",ROUND(K35/Asumsi!$B$16,0)*Asumsi!$B$16)</x:f>
        <x:v>16500000</x:v>
      </x:c>
      <x:c r="M35" s="70" t="str">
        <x:f>IF(D35&lt;Asumsi!$B$11,"GAGAL - SAMPEL KURANG",IF(H35&lt;=Asumsi!$B$12,"LOLOS - PROKSIONAL","PERLU PECAH ZNT - CV TINGGI"))</x:f>
        <x:v>LOLOS - PROKSIONAL</x:v>
      </x:c>
      <x:c r="N35" s="70" t="str">
        <x:f>IF(D35&lt;Asumsi!$B$11,"ASUMSI CADANGAN","PROKSI IKLAN")</x:f>
        <x:v>PROKSI IKLAN</x:v>
      </x:c>
      <x:c r="O35" s="63" t="n">
        <x:v>536</x:v>
      </x:c>
      <x:c r="P35" s="63" t="str">
        <x:v>https://www.rumah123.com/jual/surabaya/wiyung/tanah/</x:v>
      </x:c>
      <x:c r="Q35" s="64"/>
    </x:row>
    <x:row r="36">
      <x:c r="A36" s="63" t="str">
        <x:v>Wonocolo</x:v>
      </x:c>
      <x:c r="B36" s="63" t="str">
        <x:v>ADM-Wonocolo</x:v>
      </x:c>
      <x:c r="C36" s="86" t="n">
        <x:f>COUNTA(Sampel_Harga!F152:F156)</x:f>
        <x:v>5</x:v>
      </x:c>
      <x:c r="D36" s="86" t="n">
        <x:f>COUNTIF(Sampel_Harga!K152:K156,"VALID")</x:f>
        <x:v>5</x:v>
      </x:c>
      <x:c r="E36" s="75" t="n">
        <x:f>IF(D36&gt;=Asumsi!$B$11,AVERAGE(Sampel_Harga!L152:L156),"")</x:f>
        <x:v>8925951.70847407</x:v>
      </x:c>
      <x:c r="F36" s="75" t="n">
        <x:f>IF(D36&gt;=Asumsi!$B$11,MEDIAN(Sampel_Harga!L152:L156),"")</x:f>
        <x:v>10439709.60055447</x:v>
      </x:c>
      <x:c r="G36" s="75" t="n">
        <x:f>IF(D36&gt;=Asumsi!$B$11,STDEV.S(Sampel_Harga!L152:L156),"")</x:f>
        <x:v>2439502.738271273</x:v>
      </x:c>
      <x:c r="H36" s="76" t="n">
        <x:f>IFERROR(G36/E36,"")</x:f>
        <x:v>0.2733044965900131</x:v>
      </x:c>
      <x:c r="I36" s="75" t="n">
        <x:f>IF(D36&gt;=Asumsi!$B$11,MIN(Sampel_Harga!L152:L156),"")</x:f>
        <x:v>5654842.700300338</x:v>
      </x:c>
      <x:c r="J36" s="75" t="n">
        <x:f>IF(D36&gt;=Asumsi!$B$11,MAX(Sampel_Harga!L152:L156),"")</x:f>
        <x:v>10874697.500577573</x:v>
      </x:c>
      <x:c r="K36" s="75" t="n">
        <x:f>IF(D36&gt;=Asumsi!$B$11,IF(Asumsi!$B$13="Median",F36,E36),"")</x:f>
        <x:v>10439709.60055447</x:v>
      </x:c>
      <x:c r="L36" s="75" t="n">
        <x:f>IF(K36="","",ROUND(K36/Asumsi!$B$16,0)*Asumsi!$B$16)</x:f>
        <x:v>10400000</x:v>
      </x:c>
      <x:c r="M36" s="70" t="str">
        <x:f>IF(D36&lt;Asumsi!$B$11,"GAGAL - SAMPEL KURANG",IF(H36&lt;=Asumsi!$B$12,"LOLOS - PROKSIONAL","PERLU PECAH ZNT - CV TINGGI"))</x:f>
        <x:v>LOLOS - PROKSIONAL</x:v>
      </x:c>
      <x:c r="N36" s="70" t="str">
        <x:f>IF(D36&lt;Asumsi!$B$11,"ASUMSI CADANGAN","PROKSI IKLAN")</x:f>
        <x:v>PROKSI IKLAN</x:v>
      </x:c>
      <x:c r="O36" s="63" t="n">
        <x:v>149</x:v>
      </x:c>
      <x:c r="P36" s="63" t="str">
        <x:v>https://www.rumah123.com/jual/surabaya/wonocolo/tanah/</x:v>
      </x:c>
      <x:c r="Q36" s="64"/>
    </x:row>
    <x:row r="37">
      <x:c r="A37" s="63" t="str">
        <x:v>Wonokromo</x:v>
      </x:c>
      <x:c r="B37" s="63" t="str">
        <x:v>ADM-Wonokromo</x:v>
      </x:c>
      <x:c r="C37" s="86" t="n">
        <x:f>COUNTA(Sampel_Harga!F157:F161)</x:f>
        <x:v>5</x:v>
      </x:c>
      <x:c r="D37" s="86" t="n">
        <x:f>COUNTIF(Sampel_Harga!K157:K161,"VALID")</x:f>
        <x:v>4</x:v>
      </x:c>
      <x:c r="E37" s="75" t="n">
        <x:f>IF(D37&gt;=Asumsi!$B$11,AVERAGE(Sampel_Harga!L157:L161),"")</x:f>
        <x:v>17073275.07590679</x:v>
      </x:c>
      <x:c r="F37" s="75" t="n">
        <x:f>IF(D37&gt;=Asumsi!$B$11,MEDIAN(Sampel_Harga!L157:L161),"")</x:f>
        <x:v>17138523.260910254</x:v>
      </x:c>
      <x:c r="G37" s="75" t="n">
        <x:f>IF(D37&gt;=Asumsi!$B$11,STDEV.S(Sampel_Harga!L157:L161),"")</x:f>
        <x:v>2841662.0136525827</x:v>
      </x:c>
      <x:c r="H37" s="76" t="n">
        <x:f>IFERROR(G37/E37,"")</x:f>
        <x:v>0.16643918644892197</x:v>
      </x:c>
      <x:c r="I37" s="75" t="n">
        <x:f>IF(D37&gt;=Asumsi!$B$11,MIN(Sampel_Harga!L157:L161),"")</x:f>
        <x:v>14441598.280767016</x:v>
      </x:c>
      <x:c r="J37" s="75" t="n">
        <x:f>IF(D37&gt;=Asumsi!$B$11,MAX(Sampel_Harga!L157:L161),"")</x:f>
        <x:v>19574455.50103963</x:v>
      </x:c>
      <x:c r="K37" s="75" t="n">
        <x:f>IF(D37&gt;=Asumsi!$B$11,IF(Asumsi!$B$13="Median",F37,E37),"")</x:f>
        <x:v>17138523.260910254</x:v>
      </x:c>
      <x:c r="L37" s="75" t="n">
        <x:f>IF(K37="","",ROUND(K37/Asumsi!$B$16,0)*Asumsi!$B$16)</x:f>
        <x:v>17100000</x:v>
      </x:c>
      <x:c r="M37" s="70" t="str">
        <x:f>IF(D37&lt;Asumsi!$B$11,"GAGAL - SAMPEL KURANG",IF(H37&lt;=Asumsi!$B$12,"LOLOS - PROKSIONAL","PERLU PECAH ZNT - CV TINGGI"))</x:f>
        <x:v>LOLOS - PROKSIONAL</x:v>
      </x:c>
      <x:c r="N37" s="70" t="str">
        <x:f>IF(D37&lt;Asumsi!$B$11,"ASUMSI CADANGAN","PROKSI IKLAN")</x:f>
        <x:v>PROKSI IKLAN</x:v>
      </x:c>
      <x:c r="O37" s="63" t="n">
        <x:v>36</x:v>
      </x:c>
      <x:c r="P37" s="63" t="str">
        <x:v>https://www.rumah123.com/jual/surabaya/wonokromo/tanah/</x:v>
      </x:c>
      <x:c r="Q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P1"/>
    <x:mergeCell ref="A2:P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1" hidden="0" customWidth="1"/>
    <x:col min="4" max="4" width="22" hidden="0" customWidth="1"/>
    <x:col min="5" max="5" width="19" hidden="0" customWidth="1"/>
    <x:col min="6" max="6" width="21" hidden="0" customWidth="1"/>
    <x:col min="7" max="7" width="14" hidden="0" customWidth="1"/>
    <x:col min="8" max="8" width="24" hidden="0" customWidth="1"/>
    <x:col min="9" max="9" width="24" hidden="0" customWidth="1"/>
    <x:col min="10" max="10" width="24" hidden="0" customWidth="1"/>
    <x:col min="11" max="11" width="18" hidden="0" customWidth="1"/>
    <x:col min="12" max="12" width="31" hidden="0" customWidth="1"/>
  </x:cols>
  <x:sheetData>
    <x:row r="1" ht="26" customHeight="1">
      <x:c r="A1" s="71" t="str">
        <x:v>Tahap 3 - NJOP Objek Representatif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Skenario seragam per kecamatan, bukan inventaris bidang: luas tanah dan bangunan, DBKB, serta penyusutan berasal dari sheet Asumsi.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</x:row>
    <x:row r="6" ht="32" customHeight="1">
      <x:c r="A6" s="69" t="str">
        <x:v>Kecamatan</x:v>
      </x:c>
      <x:c r="B6" s="69" t="str">
        <x:v>Luas_Tanah_m2</x:v>
      </x:c>
      <x:c r="C6" s="69" t="str">
        <x:v>NJOP_Bumi_Rp_m2</x:v>
      </x:c>
      <x:c r="D6" s="69" t="str">
        <x:v>NJOP_Bumi_Total</x:v>
      </x:c>
      <x:c r="E6" s="69" t="str">
        <x:v>Luas_Bangunan_m2</x:v>
      </x:c>
      <x:c r="F6" s="69" t="str">
        <x:v>DBKB_Baru_Rp_m2</x:v>
      </x:c>
      <x:c r="G6" s="69" t="str">
        <x:v>Penyusutan</x:v>
      </x:c>
      <x:c r="H6" s="69" t="str">
        <x:v>NJOP_Bangunan_Rp_m2</x:v>
      </x:c>
      <x:c r="I6" s="69" t="str">
        <x:v>NJOP_Bangunan_Total</x:v>
      </x:c>
      <x:c r="J6" s="69" t="str">
        <x:v>NJOP_Total</x:v>
      </x:c>
      <x:c r="K6" s="69" t="str">
        <x:v>Basis_Tanah</x:v>
      </x:c>
      <x:c r="L6" s="69" t="str">
        <x:v>QA_Zona</x:v>
      </x:c>
      <x:c r="M6" s="64"/>
      <x:c r="N6" s="64"/>
      <x:c r="O6" s="64"/>
      <x:c r="P6" s="64"/>
      <x:c r="Q6" s="64"/>
    </x:row>
    <x:row r="7">
      <x:c r="A7" s="63" t="str">
        <x:v>Asemrowo</x:v>
      </x:c>
      <x:c r="B7" s="87" t="n">
        <x:f>Asumsi!$B$17</x:f>
        <x:v>120</x:v>
      </x:c>
      <x:c r="C7" s="75" t="n">
        <x:f>NIR_ZNT!L7</x:f>
        <x:v>4800000</x:v>
      </x:c>
      <x:c r="D7" s="75" t="n">
        <x:f>IF(COUNT(B7,C7)&lt;2,"",B7*C7)</x:f>
        <x:v>576000000</x:v>
      </x:c>
      <x:c r="E7" s="87" t="n">
        <x:f>Asumsi!$B$18</x:f>
        <x:v>80</x:v>
      </x:c>
      <x:c r="F7" s="75" t="n">
        <x:f>Asumsi!$B$19</x:f>
        <x:v>5000000</x:v>
      </x:c>
      <x:c r="G7" s="76" t="n">
        <x:f>Asumsi!$B$20</x:f>
        <x:v>0.2</x:v>
      </x:c>
      <x:c r="H7" s="75" t="n">
        <x:f>IF(COUNT(F7,G7,Asumsi!$B$16)&lt;3,"",ROUND(F7*(1-G7)/Asumsi!$B$16,0)*Asumsi!$B$16)</x:f>
        <x:v>4000000</x:v>
      </x:c>
      <x:c r="I7" s="75" t="n">
        <x:f>IF(COUNT(E7,H7)&lt;2,"",E7*H7)</x:f>
        <x:v>320000000</x:v>
      </x:c>
      <x:c r="J7" s="75" t="n">
        <x:f>IF(COUNT(D7,I7)&lt;2,"",D7+I7)</x:f>
        <x:v>896000000</x:v>
      </x:c>
      <x:c r="K7" s="63" t="str">
        <x:f>NIR_ZNT!N7</x:f>
        <x:v>PROKSI IKLAN</x:v>
      </x:c>
      <x:c r="L7" s="63" t="str">
        <x:f>NIR_ZNT!M7</x:f>
        <x:v>PERLU PECAH ZNT - CV TINGGI</x:v>
      </x:c>
      <x:c r="M7" s="64"/>
      <x:c r="N7" s="64"/>
      <x:c r="O7" s="64"/>
      <x:c r="P7" s="64"/>
      <x:c r="Q7" s="64"/>
    </x:row>
    <x:row r="8">
      <x:c r="A8" s="63" t="str">
        <x:v>Benowo</x:v>
      </x:c>
      <x:c r="B8" s="87" t="n">
        <x:f>Asumsi!$B$17</x:f>
        <x:v>120</x:v>
      </x:c>
      <x:c r="C8" s="75" t="n">
        <x:f>NIR_ZNT!L8</x:f>
        <x:v>4800000</x:v>
      </x:c>
      <x:c r="D8" s="75" t="n">
        <x:f>IF(COUNT(B8,C8)&lt;2,"",B8*C8)</x:f>
        <x:v>576000000</x:v>
      </x:c>
      <x:c r="E8" s="87" t="n">
        <x:f>Asumsi!$B$18</x:f>
        <x:v>80</x:v>
      </x:c>
      <x:c r="F8" s="75" t="n">
        <x:f>Asumsi!$B$19</x:f>
        <x:v>5000000</x:v>
      </x:c>
      <x:c r="G8" s="76" t="n">
        <x:f>Asumsi!$B$20</x:f>
        <x:v>0.2</x:v>
      </x:c>
      <x:c r="H8" s="75" t="n">
        <x:f>IF(COUNT(F8,G8,Asumsi!$B$16)&lt;3,"",ROUND(F8*(1-G8)/Asumsi!$B$16,0)*Asumsi!$B$16)</x:f>
        <x:v>4000000</x:v>
      </x:c>
      <x:c r="I8" s="75" t="n">
        <x:f>IF(COUNT(E8,H8)&lt;2,"",E8*H8)</x:f>
        <x:v>320000000</x:v>
      </x:c>
      <x:c r="J8" s="75" t="n">
        <x:f>IF(COUNT(D8,I8)&lt;2,"",D8+I8)</x:f>
        <x:v>896000000</x:v>
      </x:c>
      <x:c r="K8" s="63" t="str">
        <x:f>NIR_ZNT!N8</x:f>
        <x:v>PROKSI IKLAN</x:v>
      </x:c>
      <x:c r="L8" s="63" t="str">
        <x:f>NIR_ZNT!M8</x:f>
        <x:v>PERLU PECAH ZNT - CV TINGGI</x:v>
      </x:c>
      <x:c r="M8" s="64"/>
      <x:c r="N8" s="64"/>
      <x:c r="O8" s="64"/>
      <x:c r="P8" s="64"/>
      <x:c r="Q8" s="64"/>
    </x:row>
    <x:row r="9">
      <x:c r="A9" s="63" t="str">
        <x:v>Bubutan</x:v>
      </x:c>
      <x:c r="B9" s="87" t="n">
        <x:f>Asumsi!$B$17</x:f>
        <x:v>120</x:v>
      </x:c>
      <x:c r="C9" s="75" t="n">
        <x:f>NIR_ZNT!L9</x:f>
        <x:v>18300000</x:v>
      </x:c>
      <x:c r="D9" s="75" t="n">
        <x:f>IF(COUNT(B9,C9)&lt;2,"",B9*C9)</x:f>
        <x:v>2196000000</x:v>
      </x:c>
      <x:c r="E9" s="87" t="n">
        <x:f>Asumsi!$B$18</x:f>
        <x:v>80</x:v>
      </x:c>
      <x:c r="F9" s="75" t="n">
        <x:f>Asumsi!$B$19</x:f>
        <x:v>5000000</x:v>
      </x:c>
      <x:c r="G9" s="76" t="n">
        <x:f>Asumsi!$B$20</x:f>
        <x:v>0.2</x:v>
      </x:c>
      <x:c r="H9" s="75" t="n">
        <x:f>IF(COUNT(F9,G9,Asumsi!$B$16)&lt;3,"",ROUND(F9*(1-G9)/Asumsi!$B$16,0)*Asumsi!$B$16)</x:f>
        <x:v>4000000</x:v>
      </x:c>
      <x:c r="I9" s="75" t="n">
        <x:f>IF(COUNT(E9,H9)&lt;2,"",E9*H9)</x:f>
        <x:v>320000000</x:v>
      </x:c>
      <x:c r="J9" s="75" t="n">
        <x:f>IF(COUNT(D9,I9)&lt;2,"",D9+I9)</x:f>
        <x:v>2516000000</x:v>
      </x:c>
      <x:c r="K9" s="63" t="str">
        <x:f>NIR_ZNT!N9</x:f>
        <x:v>PROKSI IKLAN</x:v>
      </x:c>
      <x:c r="L9" s="63" t="str">
        <x:f>NIR_ZNT!M9</x:f>
        <x:v>LOLOS - PROKSIONAL</x:v>
      </x:c>
      <x:c r="M9" s="64"/>
      <x:c r="N9" s="64"/>
      <x:c r="O9" s="64"/>
      <x:c r="P9" s="64"/>
      <x:c r="Q9" s="64"/>
    </x:row>
    <x:row r="10">
      <x:c r="A10" s="63" t="str">
        <x:v>Bulak</x:v>
      </x:c>
      <x:c r="B10" s="87" t="n">
        <x:f>Asumsi!$B$17</x:f>
        <x:v>120</x:v>
      </x:c>
      <x:c r="C10" s="75" t="n">
        <x:f>NIR_ZNT!L10</x:f>
        <x:v>8700000</x:v>
      </x:c>
      <x:c r="D10" s="75" t="n">
        <x:f>IF(COUNT(B10,C10)&lt;2,"",B10*C10)</x:f>
        <x:v>1044000000</x:v>
      </x:c>
      <x:c r="E10" s="87" t="n">
        <x:f>Asumsi!$B$18</x:f>
        <x:v>80</x:v>
      </x:c>
      <x:c r="F10" s="75" t="n">
        <x:f>Asumsi!$B$19</x:f>
        <x:v>5000000</x:v>
      </x:c>
      <x:c r="G10" s="76" t="n">
        <x:f>Asumsi!$B$20</x:f>
        <x:v>0.2</x:v>
      </x:c>
      <x:c r="H10" s="75" t="n">
        <x:f>IF(COUNT(F10,G10,Asumsi!$B$16)&lt;3,"",ROUND(F10*(1-G10)/Asumsi!$B$16,0)*Asumsi!$B$16)</x:f>
        <x:v>4000000</x:v>
      </x:c>
      <x:c r="I10" s="75" t="n">
        <x:f>IF(COUNT(E10,H10)&lt;2,"",E10*H10)</x:f>
        <x:v>320000000</x:v>
      </x:c>
      <x:c r="J10" s="75" t="n">
        <x:f>IF(COUNT(D10,I10)&lt;2,"",D10+I10)</x:f>
        <x:v>1364000000</x:v>
      </x:c>
      <x:c r="K10" s="63" t="str">
        <x:f>NIR_ZNT!N10</x:f>
        <x:v>PROKSI IKLAN</x:v>
      </x:c>
      <x:c r="L10" s="63" t="str">
        <x:f>NIR_ZNT!M10</x:f>
        <x:v>LOLOS - PROKSIONAL</x:v>
      </x:c>
      <x:c r="M10" s="64"/>
      <x:c r="N10" s="64"/>
      <x:c r="O10" s="64"/>
      <x:c r="P10" s="64"/>
      <x:c r="Q10" s="64"/>
    </x:row>
    <x:row r="11">
      <x:c r="A11" s="63" t="str">
        <x:v>Dukuh Pakis</x:v>
      </x:c>
      <x:c r="B11" s="87" t="n">
        <x:f>Asumsi!$B$17</x:f>
        <x:v>120</x:v>
      </x:c>
      <x:c r="C11" s="75" t="n">
        <x:f>NIR_ZNT!L11</x:f>
        <x:v>31300000</x:v>
      </x:c>
      <x:c r="D11" s="75" t="n">
        <x:f>IF(COUNT(B11,C11)&lt;2,"",B11*C11)</x:f>
        <x:v>3756000000</x:v>
      </x:c>
      <x:c r="E11" s="87" t="n">
        <x:f>Asumsi!$B$18</x:f>
        <x:v>80</x:v>
      </x:c>
      <x:c r="F11" s="75" t="n">
        <x:f>Asumsi!$B$19</x:f>
        <x:v>5000000</x:v>
      </x:c>
      <x:c r="G11" s="76" t="n">
        <x:f>Asumsi!$B$20</x:f>
        <x:v>0.2</x:v>
      </x:c>
      <x:c r="H11" s="75" t="n">
        <x:f>IF(COUNT(F11,G11,Asumsi!$B$16)&lt;3,"",ROUND(F11*(1-G11)/Asumsi!$B$16,0)*Asumsi!$B$16)</x:f>
        <x:v>4000000</x:v>
      </x:c>
      <x:c r="I11" s="75" t="n">
        <x:f>IF(COUNT(E11,H11)&lt;2,"",E11*H11)</x:f>
        <x:v>320000000</x:v>
      </x:c>
      <x:c r="J11" s="75" t="n">
        <x:f>IF(COUNT(D11,I11)&lt;2,"",D11+I11)</x:f>
        <x:v>4076000000</x:v>
      </x:c>
      <x:c r="K11" s="63" t="str">
        <x:f>NIR_ZNT!N11</x:f>
        <x:v>PROKSI IKLAN</x:v>
      </x:c>
      <x:c r="L11" s="63" t="str">
        <x:f>NIR_ZNT!M11</x:f>
        <x:v>LOLOS - PROKSIONAL</x:v>
      </x:c>
      <x:c r="M11" s="64"/>
      <x:c r="N11" s="64"/>
      <x:c r="O11" s="64"/>
      <x:c r="P11" s="64"/>
      <x:c r="Q11" s="64"/>
    </x:row>
    <x:row r="12">
      <x:c r="A12" s="63" t="str">
        <x:v>Gayungan</x:v>
      </x:c>
      <x:c r="B12" s="87" t="n">
        <x:f>Asumsi!$B$17</x:f>
        <x:v>120</x:v>
      </x:c>
      <x:c r="C12" s="75" t="n">
        <x:f>NIR_ZNT!L12</x:f>
        <x:v>7800000</x:v>
      </x:c>
      <x:c r="D12" s="75" t="n">
        <x:f>IF(COUNT(B12,C12)&lt;2,"",B12*C12)</x:f>
        <x:v>936000000</x:v>
      </x:c>
      <x:c r="E12" s="87" t="n">
        <x:f>Asumsi!$B$18</x:f>
        <x:v>80</x:v>
      </x:c>
      <x:c r="F12" s="75" t="n">
        <x:f>Asumsi!$B$19</x:f>
        <x:v>5000000</x:v>
      </x:c>
      <x:c r="G12" s="76" t="n">
        <x:f>Asumsi!$B$20</x:f>
        <x:v>0.2</x:v>
      </x:c>
      <x:c r="H12" s="75" t="n">
        <x:f>IF(COUNT(F12,G12,Asumsi!$B$16)&lt;3,"",ROUND(F12*(1-G12)/Asumsi!$B$16,0)*Asumsi!$B$16)</x:f>
        <x:v>4000000</x:v>
      </x:c>
      <x:c r="I12" s="75" t="n">
        <x:f>IF(COUNT(E12,H12)&lt;2,"",E12*H12)</x:f>
        <x:v>320000000</x:v>
      </x:c>
      <x:c r="J12" s="75" t="n">
        <x:f>IF(COUNT(D12,I12)&lt;2,"",D12+I12)</x:f>
        <x:v>1256000000</x:v>
      </x:c>
      <x:c r="K12" s="63" t="str">
        <x:f>NIR_ZNT!N12</x:f>
        <x:v>PROKSI IKLAN</x:v>
      </x:c>
      <x:c r="L12" s="63" t="str">
        <x:f>NIR_ZNT!M12</x:f>
        <x:v>PERLU PECAH ZNT - CV TINGGI</x:v>
      </x:c>
      <x:c r="M12" s="64"/>
      <x:c r="N12" s="64"/>
      <x:c r="O12" s="64"/>
      <x:c r="P12" s="64"/>
      <x:c r="Q12" s="64"/>
    </x:row>
    <x:row r="13">
      <x:c r="A13" s="63" t="str">
        <x:v>Genteng</x:v>
      </x:c>
      <x:c r="B13" s="87" t="n">
        <x:f>Asumsi!$B$17</x:f>
        <x:v>120</x:v>
      </x:c>
      <x:c r="C13" s="75" t="n">
        <x:f>NIR_ZNT!L13</x:f>
        <x:v>17400000</x:v>
      </x:c>
      <x:c r="D13" s="75" t="n">
        <x:f>IF(COUNT(B13,C13)&lt;2,"",B13*C13)</x:f>
        <x:v>2088000000</x:v>
      </x:c>
      <x:c r="E13" s="87" t="n">
        <x:f>Asumsi!$B$18</x:f>
        <x:v>80</x:v>
      </x:c>
      <x:c r="F13" s="75" t="n">
        <x:f>Asumsi!$B$19</x:f>
        <x:v>5000000</x:v>
      </x:c>
      <x:c r="G13" s="76" t="n">
        <x:f>Asumsi!$B$20</x:f>
        <x:v>0.2</x:v>
      </x:c>
      <x:c r="H13" s="75" t="n">
        <x:f>IF(COUNT(F13,G13,Asumsi!$B$16)&lt;3,"",ROUND(F13*(1-G13)/Asumsi!$B$16,0)*Asumsi!$B$16)</x:f>
        <x:v>4000000</x:v>
      </x:c>
      <x:c r="I13" s="75" t="n">
        <x:f>IF(COUNT(E13,H13)&lt;2,"",E13*H13)</x:f>
        <x:v>320000000</x:v>
      </x:c>
      <x:c r="J13" s="75" t="n">
        <x:f>IF(COUNT(D13,I13)&lt;2,"",D13+I13)</x:f>
        <x:v>2408000000</x:v>
      </x:c>
      <x:c r="K13" s="63" t="str">
        <x:f>NIR_ZNT!N13</x:f>
        <x:v>PROKSI IKLAN</x:v>
      </x:c>
      <x:c r="L13" s="63" t="str">
        <x:f>NIR_ZNT!M13</x:f>
        <x:v>LOLOS - PROKSIONAL</x:v>
      </x:c>
      <x:c r="M13" s="64"/>
      <x:c r="N13" s="64"/>
      <x:c r="O13" s="64"/>
      <x:c r="P13" s="64"/>
      <x:c r="Q13" s="64"/>
    </x:row>
    <x:row r="14">
      <x:c r="A14" s="63" t="str">
        <x:v>Gubeng</x:v>
      </x:c>
      <x:c r="B14" s="87" t="n">
        <x:f>Asumsi!$B$17</x:f>
        <x:v>120</x:v>
      </x:c>
      <x:c r="C14" s="75" t="n">
        <x:f>NIR_ZNT!L14</x:f>
        <x:v>7000000</x:v>
      </x:c>
      <x:c r="D14" s="75" t="n">
        <x:f>IF(COUNT(B14,C14)&lt;2,"",B14*C14)</x:f>
        <x:v>840000000</x:v>
      </x:c>
      <x:c r="E14" s="87" t="n">
        <x:f>Asumsi!$B$18</x:f>
        <x:v>80</x:v>
      </x:c>
      <x:c r="F14" s="75" t="n">
        <x:f>Asumsi!$B$19</x:f>
        <x:v>5000000</x:v>
      </x:c>
      <x:c r="G14" s="76" t="n">
        <x:f>Asumsi!$B$20</x:f>
        <x:v>0.2</x:v>
      </x:c>
      <x:c r="H14" s="75" t="n">
        <x:f>IF(COUNT(F14,G14,Asumsi!$B$16)&lt;3,"",ROUND(F14*(1-G14)/Asumsi!$B$16,0)*Asumsi!$B$16)</x:f>
        <x:v>4000000</x:v>
      </x:c>
      <x:c r="I14" s="75" t="n">
        <x:f>IF(COUNT(E14,H14)&lt;2,"",E14*H14)</x:f>
        <x:v>320000000</x:v>
      </x:c>
      <x:c r="J14" s="75" t="n">
        <x:f>IF(COUNT(D14,I14)&lt;2,"",D14+I14)</x:f>
        <x:v>1160000000</x:v>
      </x:c>
      <x:c r="K14" s="63" t="str">
        <x:f>NIR_ZNT!N14</x:f>
        <x:v>PROKSI IKLAN</x:v>
      </x:c>
      <x:c r="L14" s="63" t="str">
        <x:f>NIR_ZNT!M14</x:f>
        <x:v>LOLOS - PROKSIONAL</x:v>
      </x:c>
      <x:c r="M14" s="64"/>
      <x:c r="N14" s="64"/>
      <x:c r="O14" s="64"/>
      <x:c r="P14" s="64"/>
      <x:c r="Q14" s="64"/>
    </x:row>
    <x:row r="15">
      <x:c r="A15" s="63" t="str">
        <x:v>Gunung Anyar</x:v>
      </x:c>
      <x:c r="B15" s="87" t="n">
        <x:f>Asumsi!$B$17</x:f>
        <x:v>120</x:v>
      </x:c>
      <x:c r="C15" s="75" t="n">
        <x:f>NIR_ZNT!L15</x:f>
        <x:v>4300000</x:v>
      </x:c>
      <x:c r="D15" s="75" t="n">
        <x:f>IF(COUNT(B15,C15)&lt;2,"",B15*C15)</x:f>
        <x:v>516000000</x:v>
      </x:c>
      <x:c r="E15" s="87" t="n">
        <x:f>Asumsi!$B$18</x:f>
        <x:v>80</x:v>
      </x:c>
      <x:c r="F15" s="75" t="n">
        <x:f>Asumsi!$B$19</x:f>
        <x:v>5000000</x:v>
      </x:c>
      <x:c r="G15" s="76" t="n">
        <x:f>Asumsi!$B$20</x:f>
        <x:v>0.2</x:v>
      </x:c>
      <x:c r="H15" s="75" t="n">
        <x:f>IF(COUNT(F15,G15,Asumsi!$B$16)&lt;3,"",ROUND(F15*(1-G15)/Asumsi!$B$16,0)*Asumsi!$B$16)</x:f>
        <x:v>4000000</x:v>
      </x:c>
      <x:c r="I15" s="75" t="n">
        <x:f>IF(COUNT(E15,H15)&lt;2,"",E15*H15)</x:f>
        <x:v>320000000</x:v>
      </x:c>
      <x:c r="J15" s="75" t="n">
        <x:f>IF(COUNT(D15,I15)&lt;2,"",D15+I15)</x:f>
        <x:v>836000000</x:v>
      </x:c>
      <x:c r="K15" s="63" t="str">
        <x:f>NIR_ZNT!N15</x:f>
        <x:v>PROKSI IKLAN</x:v>
      </x:c>
      <x:c r="L15" s="63" t="str">
        <x:f>NIR_ZNT!M15</x:f>
        <x:v>PERLU PECAH ZNT - CV TINGGI</x:v>
      </x:c>
      <x:c r="M15" s="64"/>
      <x:c r="N15" s="64"/>
      <x:c r="O15" s="64"/>
      <x:c r="P15" s="64"/>
      <x:c r="Q15" s="64"/>
    </x:row>
    <x:row r="16">
      <x:c r="A16" s="63" t="str">
        <x:v>Jambangan</x:v>
      </x:c>
      <x:c r="B16" s="87" t="n">
        <x:f>Asumsi!$B$17</x:f>
        <x:v>120</x:v>
      </x:c>
      <x:c r="C16" s="75" t="n">
        <x:f>NIR_ZNT!L16</x:f>
        <x:v>7800000</x:v>
      </x:c>
      <x:c r="D16" s="75" t="n">
        <x:f>IF(COUNT(B16,C16)&lt;2,"",B16*C16)</x:f>
        <x:v>936000000</x:v>
      </x:c>
      <x:c r="E16" s="87" t="n">
        <x:f>Asumsi!$B$18</x:f>
        <x:v>80</x:v>
      </x:c>
      <x:c r="F16" s="75" t="n">
        <x:f>Asumsi!$B$19</x:f>
        <x:v>5000000</x:v>
      </x:c>
      <x:c r="G16" s="76" t="n">
        <x:f>Asumsi!$B$20</x:f>
        <x:v>0.2</x:v>
      </x:c>
      <x:c r="H16" s="75" t="n">
        <x:f>IF(COUNT(F16,G16,Asumsi!$B$16)&lt;3,"",ROUND(F16*(1-G16)/Asumsi!$B$16,0)*Asumsi!$B$16)</x:f>
        <x:v>4000000</x:v>
      </x:c>
      <x:c r="I16" s="75" t="n">
        <x:f>IF(COUNT(E16,H16)&lt;2,"",E16*H16)</x:f>
        <x:v>320000000</x:v>
      </x:c>
      <x:c r="J16" s="75" t="n">
        <x:f>IF(COUNT(D16,I16)&lt;2,"",D16+I16)</x:f>
        <x:v>1256000000</x:v>
      </x:c>
      <x:c r="K16" s="63" t="str">
        <x:f>NIR_ZNT!N16</x:f>
        <x:v>PROKSI IKLAN</x:v>
      </x:c>
      <x:c r="L16" s="63" t="str">
        <x:f>NIR_ZNT!M16</x:f>
        <x:v>LOLOS - PROKSIONAL</x:v>
      </x:c>
      <x:c r="M16" s="64"/>
      <x:c r="N16" s="64"/>
      <x:c r="O16" s="64"/>
      <x:c r="P16" s="64"/>
      <x:c r="Q16" s="64"/>
    </x:row>
    <x:row r="17">
      <x:c r="A17" s="63" t="str">
        <x:v>Karang Pilang</x:v>
      </x:c>
      <x:c r="B17" s="87" t="n">
        <x:f>Asumsi!$B$17</x:f>
        <x:v>120</x:v>
      </x:c>
      <x:c r="C17" s="75" t="n">
        <x:f>NIR_ZNT!L17</x:f>
        <x:v>6700000</x:v>
      </x:c>
      <x:c r="D17" s="75" t="n">
        <x:f>IF(COUNT(B17,C17)&lt;2,"",B17*C17)</x:f>
        <x:v>804000000</x:v>
      </x:c>
      <x:c r="E17" s="87" t="n">
        <x:f>Asumsi!$B$18</x:f>
        <x:v>80</x:v>
      </x:c>
      <x:c r="F17" s="75" t="n">
        <x:f>Asumsi!$B$19</x:f>
        <x:v>5000000</x:v>
      </x:c>
      <x:c r="G17" s="76" t="n">
        <x:f>Asumsi!$B$20</x:f>
        <x:v>0.2</x:v>
      </x:c>
      <x:c r="H17" s="75" t="n">
        <x:f>IF(COUNT(F17,G17,Asumsi!$B$16)&lt;3,"",ROUND(F17*(1-G17)/Asumsi!$B$16,0)*Asumsi!$B$16)</x:f>
        <x:v>4000000</x:v>
      </x:c>
      <x:c r="I17" s="75" t="n">
        <x:f>IF(COUNT(E17,H17)&lt;2,"",E17*H17)</x:f>
        <x:v>320000000</x:v>
      </x:c>
      <x:c r="J17" s="75" t="n">
        <x:f>IF(COUNT(D17,I17)&lt;2,"",D17+I17)</x:f>
        <x:v>1124000000</x:v>
      </x:c>
      <x:c r="K17" s="63" t="str">
        <x:f>NIR_ZNT!N17</x:f>
        <x:v>PROKSI IKLAN</x:v>
      </x:c>
      <x:c r="L17" s="63" t="str">
        <x:f>NIR_ZNT!M17</x:f>
        <x:v>PERLU PECAH ZNT - CV TINGGI</x:v>
      </x:c>
      <x:c r="M17" s="64"/>
      <x:c r="N17" s="64"/>
      <x:c r="O17" s="64"/>
      <x:c r="P17" s="64"/>
      <x:c r="Q17" s="64"/>
    </x:row>
    <x:row r="18">
      <x:c r="A18" s="63" t="str">
        <x:v>Kenjeran</x:v>
      </x:c>
      <x:c r="B18" s="87" t="n">
        <x:f>Asumsi!$B$17</x:f>
        <x:v>120</x:v>
      </x:c>
      <x:c r="C18" s="75" t="n">
        <x:f>NIR_ZNT!L18</x:f>
        <x:v>8700000</x:v>
      </x:c>
      <x:c r="D18" s="75" t="n">
        <x:f>IF(COUNT(B18,C18)&lt;2,"",B18*C18)</x:f>
        <x:v>1044000000</x:v>
      </x:c>
      <x:c r="E18" s="87" t="n">
        <x:f>Asumsi!$B$18</x:f>
        <x:v>80</x:v>
      </x:c>
      <x:c r="F18" s="75" t="n">
        <x:f>Asumsi!$B$19</x:f>
        <x:v>5000000</x:v>
      </x:c>
      <x:c r="G18" s="76" t="n">
        <x:f>Asumsi!$B$20</x:f>
        <x:v>0.2</x:v>
      </x:c>
      <x:c r="H18" s="75" t="n">
        <x:f>IF(COUNT(F18,G18,Asumsi!$B$16)&lt;3,"",ROUND(F18*(1-G18)/Asumsi!$B$16,0)*Asumsi!$B$16)</x:f>
        <x:v>4000000</x:v>
      </x:c>
      <x:c r="I18" s="75" t="n">
        <x:f>IF(COUNT(E18,H18)&lt;2,"",E18*H18)</x:f>
        <x:v>320000000</x:v>
      </x:c>
      <x:c r="J18" s="75" t="n">
        <x:f>IF(COUNT(D18,I18)&lt;2,"",D18+I18)</x:f>
        <x:v>1364000000</x:v>
      </x:c>
      <x:c r="K18" s="63" t="str">
        <x:f>NIR_ZNT!N18</x:f>
        <x:v>PROKSI IKLAN</x:v>
      </x:c>
      <x:c r="L18" s="63" t="str">
        <x:f>NIR_ZNT!M18</x:f>
        <x:v>LOLOS - PROKSIONAL</x:v>
      </x:c>
      <x:c r="M18" s="64"/>
      <x:c r="N18" s="64"/>
      <x:c r="O18" s="64"/>
      <x:c r="P18" s="64"/>
      <x:c r="Q18" s="64"/>
    </x:row>
    <x:row r="19">
      <x:c r="A19" s="63" t="str">
        <x:v>Krembangan</x:v>
      </x:c>
      <x:c r="B19" s="87" t="n">
        <x:f>Asumsi!$B$17</x:f>
        <x:v>120</x:v>
      </x:c>
      <x:c r="C19" s="75" t="n">
        <x:f>NIR_ZNT!L19</x:f>
        <x:v>7000000</x:v>
      </x:c>
      <x:c r="D19" s="75" t="n">
        <x:f>IF(COUNT(B19,C19)&lt;2,"",B19*C19)</x:f>
        <x:v>840000000</x:v>
      </x:c>
      <x:c r="E19" s="87" t="n">
        <x:f>Asumsi!$B$18</x:f>
        <x:v>80</x:v>
      </x:c>
      <x:c r="F19" s="75" t="n">
        <x:f>Asumsi!$B$19</x:f>
        <x:v>5000000</x:v>
      </x:c>
      <x:c r="G19" s="76" t="n">
        <x:f>Asumsi!$B$20</x:f>
        <x:v>0.2</x:v>
      </x:c>
      <x:c r="H19" s="75" t="n">
        <x:f>IF(COUNT(F19,G19,Asumsi!$B$16)&lt;3,"",ROUND(F19*(1-G19)/Asumsi!$B$16,0)*Asumsi!$B$16)</x:f>
        <x:v>4000000</x:v>
      </x:c>
      <x:c r="I19" s="75" t="n">
        <x:f>IF(COUNT(E19,H19)&lt;2,"",E19*H19)</x:f>
        <x:v>320000000</x:v>
      </x:c>
      <x:c r="J19" s="75" t="n">
        <x:f>IF(COUNT(D19,I19)&lt;2,"",D19+I19)</x:f>
        <x:v>1160000000</x:v>
      </x:c>
      <x:c r="K19" s="63" t="str">
        <x:f>NIR_ZNT!N19</x:f>
        <x:v>PROKSI IKLAN</x:v>
      </x:c>
      <x:c r="L19" s="63" t="str">
        <x:f>NIR_ZNT!M19</x:f>
        <x:v>PERLU PECAH ZNT - CV TINGGI</x:v>
      </x:c>
      <x:c r="M19" s="64"/>
      <x:c r="N19" s="64"/>
      <x:c r="O19" s="64"/>
      <x:c r="P19" s="64"/>
      <x:c r="Q19" s="64"/>
    </x:row>
    <x:row r="20">
      <x:c r="A20" s="63" t="str">
        <x:v>Lakarsantri</x:v>
      </x:c>
      <x:c r="B20" s="87" t="n">
        <x:f>Asumsi!$B$17</x:f>
        <x:v>120</x:v>
      </x:c>
      <x:c r="C20" s="75" t="n">
        <x:f>NIR_ZNT!L20</x:f>
        <x:v>13000000</x:v>
      </x:c>
      <x:c r="D20" s="75" t="n">
        <x:f>IF(COUNT(B20,C20)&lt;2,"",B20*C20)</x:f>
        <x:v>1560000000</x:v>
      </x:c>
      <x:c r="E20" s="87" t="n">
        <x:f>Asumsi!$B$18</x:f>
        <x:v>80</x:v>
      </x:c>
      <x:c r="F20" s="75" t="n">
        <x:f>Asumsi!$B$19</x:f>
        <x:v>5000000</x:v>
      </x:c>
      <x:c r="G20" s="76" t="n">
        <x:f>Asumsi!$B$20</x:f>
        <x:v>0.2</x:v>
      </x:c>
      <x:c r="H20" s="75" t="n">
        <x:f>IF(COUNT(F20,G20,Asumsi!$B$16)&lt;3,"",ROUND(F20*(1-G20)/Asumsi!$B$16,0)*Asumsi!$B$16)</x:f>
        <x:v>4000000</x:v>
      </x:c>
      <x:c r="I20" s="75" t="n">
        <x:f>IF(COUNT(E20,H20)&lt;2,"",E20*H20)</x:f>
        <x:v>320000000</x:v>
      </x:c>
      <x:c r="J20" s="75" t="n">
        <x:f>IF(COUNT(D20,I20)&lt;2,"",D20+I20)</x:f>
        <x:v>1880000000</x:v>
      </x:c>
      <x:c r="K20" s="63" t="str">
        <x:f>NIR_ZNT!N20</x:f>
        <x:v>PROKSI IKLAN</x:v>
      </x:c>
      <x:c r="L20" s="63" t="str">
        <x:f>NIR_ZNT!M20</x:f>
        <x:v>PERLU PECAH ZNT - CV TINGGI</x:v>
      </x:c>
      <x:c r="M20" s="64"/>
      <x:c r="N20" s="64"/>
      <x:c r="O20" s="64"/>
      <x:c r="P20" s="64"/>
      <x:c r="Q20" s="64"/>
    </x:row>
    <x:row r="21">
      <x:c r="A21" s="63" t="str">
        <x:v>Mulyorejo</x:v>
      </x:c>
      <x:c r="B21" s="87" t="n">
        <x:f>Asumsi!$B$17</x:f>
        <x:v>120</x:v>
      </x:c>
      <x:c r="C21" s="75" t="n">
        <x:f>NIR_ZNT!L21</x:f>
        <x:v>19600000</x:v>
      </x:c>
      <x:c r="D21" s="75" t="n">
        <x:f>IF(COUNT(B21,C21)&lt;2,"",B21*C21)</x:f>
        <x:v>2352000000</x:v>
      </x:c>
      <x:c r="E21" s="87" t="n">
        <x:f>Asumsi!$B$18</x:f>
        <x:v>80</x:v>
      </x:c>
      <x:c r="F21" s="75" t="n">
        <x:f>Asumsi!$B$19</x:f>
        <x:v>5000000</x:v>
      </x:c>
      <x:c r="G21" s="76" t="n">
        <x:f>Asumsi!$B$20</x:f>
        <x:v>0.2</x:v>
      </x:c>
      <x:c r="H21" s="75" t="n">
        <x:f>IF(COUNT(F21,G21,Asumsi!$B$16)&lt;3,"",ROUND(F21*(1-G21)/Asumsi!$B$16,0)*Asumsi!$B$16)</x:f>
        <x:v>4000000</x:v>
      </x:c>
      <x:c r="I21" s="75" t="n">
        <x:f>IF(COUNT(E21,H21)&lt;2,"",E21*H21)</x:f>
        <x:v>320000000</x:v>
      </x:c>
      <x:c r="J21" s="75" t="n">
        <x:f>IF(COUNT(D21,I21)&lt;2,"",D21+I21)</x:f>
        <x:v>2672000000</x:v>
      </x:c>
      <x:c r="K21" s="63" t="str">
        <x:f>NIR_ZNT!N21</x:f>
        <x:v>PROKSI IKLAN</x:v>
      </x:c>
      <x:c r="L21" s="63" t="str">
        <x:f>NIR_ZNT!M21</x:f>
        <x:v>PERLU PECAH ZNT - CV TINGGI</x:v>
      </x:c>
      <x:c r="M21" s="64"/>
      <x:c r="N21" s="64"/>
      <x:c r="O21" s="64"/>
      <x:c r="P21" s="64"/>
      <x:c r="Q21" s="64"/>
    </x:row>
    <x:row r="22">
      <x:c r="A22" s="63" t="str">
        <x:v>Pabean Cantian</x:v>
      </x:c>
      <x:c r="B22" s="87" t="n">
        <x:f>Asumsi!$B$17</x:f>
        <x:v>120</x:v>
      </x:c>
      <x:c r="C22" s="75" t="n">
        <x:f>NIR_ZNT!L22</x:f>
        <x:v>5000000</x:v>
      </x:c>
      <x:c r="D22" s="75" t="n">
        <x:f>IF(COUNT(B22,C22)&lt;2,"",B22*C22)</x:f>
        <x:v>600000000</x:v>
      </x:c>
      <x:c r="E22" s="87" t="n">
        <x:f>Asumsi!$B$18</x:f>
        <x:v>80</x:v>
      </x:c>
      <x:c r="F22" s="75" t="n">
        <x:f>Asumsi!$B$19</x:f>
        <x:v>5000000</x:v>
      </x:c>
      <x:c r="G22" s="76" t="n">
        <x:f>Asumsi!$B$20</x:f>
        <x:v>0.2</x:v>
      </x:c>
      <x:c r="H22" s="75" t="n">
        <x:f>IF(COUNT(F22,G22,Asumsi!$B$16)&lt;3,"",ROUND(F22*(1-G22)/Asumsi!$B$16,0)*Asumsi!$B$16)</x:f>
        <x:v>4000000</x:v>
      </x:c>
      <x:c r="I22" s="75" t="n">
        <x:f>IF(COUNT(E22,H22)&lt;2,"",E22*H22)</x:f>
        <x:v>320000000</x:v>
      </x:c>
      <x:c r="J22" s="75" t="n">
        <x:f>IF(COUNT(D22,I22)&lt;2,"",D22+I22)</x:f>
        <x:v>920000000</x:v>
      </x:c>
      <x:c r="K22" s="63" t="str">
        <x:f>NIR_ZNT!N22</x:f>
        <x:v>PROKSI IKLAN</x:v>
      </x:c>
      <x:c r="L22" s="63" t="str">
        <x:f>NIR_ZNT!M22</x:f>
        <x:v>LOLOS - PROKSIONAL</x:v>
      </x:c>
      <x:c r="M22" s="64"/>
      <x:c r="N22" s="64"/>
      <x:c r="O22" s="64"/>
      <x:c r="P22" s="64"/>
      <x:c r="Q22" s="64"/>
    </x:row>
    <x:row r="23">
      <x:c r="A23" s="63" t="str">
        <x:v>Pakal</x:v>
      </x:c>
      <x:c r="B23" s="87" t="n">
        <x:f>Asumsi!$B$17</x:f>
        <x:v>120</x:v>
      </x:c>
      <x:c r="C23" s="75" t="n">
        <x:f>NIR_ZNT!L23</x:f>
        <x:v>7600000</x:v>
      </x:c>
      <x:c r="D23" s="75" t="n">
        <x:f>IF(COUNT(B23,C23)&lt;2,"",B23*C23)</x:f>
        <x:v>912000000</x:v>
      </x:c>
      <x:c r="E23" s="87" t="n">
        <x:f>Asumsi!$B$18</x:f>
        <x:v>80</x:v>
      </x:c>
      <x:c r="F23" s="75" t="n">
        <x:f>Asumsi!$B$19</x:f>
        <x:v>5000000</x:v>
      </x:c>
      <x:c r="G23" s="76" t="n">
        <x:f>Asumsi!$B$20</x:f>
        <x:v>0.2</x:v>
      </x:c>
      <x:c r="H23" s="75" t="n">
        <x:f>IF(COUNT(F23,G23,Asumsi!$B$16)&lt;3,"",ROUND(F23*(1-G23)/Asumsi!$B$16,0)*Asumsi!$B$16)</x:f>
        <x:v>4000000</x:v>
      </x:c>
      <x:c r="I23" s="75" t="n">
        <x:f>IF(COUNT(E23,H23)&lt;2,"",E23*H23)</x:f>
        <x:v>320000000</x:v>
      </x:c>
      <x:c r="J23" s="75" t="n">
        <x:f>IF(COUNT(D23,I23)&lt;2,"",D23+I23)</x:f>
        <x:v>1232000000</x:v>
      </x:c>
      <x:c r="K23" s="63" t="str">
        <x:f>NIR_ZNT!N23</x:f>
        <x:v>PROKSI IKLAN</x:v>
      </x:c>
      <x:c r="L23" s="63" t="str">
        <x:f>NIR_ZNT!M23</x:f>
        <x:v>LOLOS - PROKSIONAL</x:v>
      </x:c>
      <x:c r="M23" s="64"/>
      <x:c r="N23" s="64"/>
      <x:c r="O23" s="64"/>
      <x:c r="P23" s="64"/>
      <x:c r="Q23" s="64"/>
    </x:row>
    <x:row r="24">
      <x:c r="A24" s="63" t="str">
        <x:v>Rungkut</x:v>
      </x:c>
      <x:c r="B24" s="87" t="n">
        <x:f>Asumsi!$B$17</x:f>
        <x:v>120</x:v>
      </x:c>
      <x:c r="C24" s="75" t="n">
        <x:f>NIR_ZNT!L24</x:f>
        <x:v>15200000</x:v>
      </x:c>
      <x:c r="D24" s="75" t="n">
        <x:f>IF(COUNT(B24,C24)&lt;2,"",B24*C24)</x:f>
        <x:v>1824000000</x:v>
      </x:c>
      <x:c r="E24" s="87" t="n">
        <x:f>Asumsi!$B$18</x:f>
        <x:v>80</x:v>
      </x:c>
      <x:c r="F24" s="75" t="n">
        <x:f>Asumsi!$B$19</x:f>
        <x:v>5000000</x:v>
      </x:c>
      <x:c r="G24" s="76" t="n">
        <x:f>Asumsi!$B$20</x:f>
        <x:v>0.2</x:v>
      </x:c>
      <x:c r="H24" s="75" t="n">
        <x:f>IF(COUNT(F24,G24,Asumsi!$B$16)&lt;3,"",ROUND(F24*(1-G24)/Asumsi!$B$16,0)*Asumsi!$B$16)</x:f>
        <x:v>4000000</x:v>
      </x:c>
      <x:c r="I24" s="75" t="n">
        <x:f>IF(COUNT(E24,H24)&lt;2,"",E24*H24)</x:f>
        <x:v>320000000</x:v>
      </x:c>
      <x:c r="J24" s="75" t="n">
        <x:f>IF(COUNT(D24,I24)&lt;2,"",D24+I24)</x:f>
        <x:v>2144000000</x:v>
      </x:c>
      <x:c r="K24" s="63" t="str">
        <x:f>NIR_ZNT!N24</x:f>
        <x:v>PROKSI IKLAN</x:v>
      </x:c>
      <x:c r="L24" s="63" t="str">
        <x:f>NIR_ZNT!M24</x:f>
        <x:v>PERLU PECAH ZNT - CV TINGGI</x:v>
      </x:c>
      <x:c r="M24" s="64"/>
      <x:c r="N24" s="64"/>
      <x:c r="O24" s="64"/>
      <x:c r="P24" s="64"/>
      <x:c r="Q24" s="64"/>
    </x:row>
    <x:row r="25">
      <x:c r="A25" s="63" t="str">
        <x:v>Sambikerep</x:v>
      </x:c>
      <x:c r="B25" s="87" t="n">
        <x:f>Asumsi!$B$17</x:f>
        <x:v>120</x:v>
      </x:c>
      <x:c r="C25" s="75" t="n">
        <x:f>NIR_ZNT!L25</x:f>
        <x:v>13000000</x:v>
      </x:c>
      <x:c r="D25" s="75" t="n">
        <x:f>IF(COUNT(B25,C25)&lt;2,"",B25*C25)</x:f>
        <x:v>1560000000</x:v>
      </x:c>
      <x:c r="E25" s="87" t="n">
        <x:f>Asumsi!$B$18</x:f>
        <x:v>80</x:v>
      </x:c>
      <x:c r="F25" s="75" t="n">
        <x:f>Asumsi!$B$19</x:f>
        <x:v>5000000</x:v>
      </x:c>
      <x:c r="G25" s="76" t="n">
        <x:f>Asumsi!$B$20</x:f>
        <x:v>0.2</x:v>
      </x:c>
      <x:c r="H25" s="75" t="n">
        <x:f>IF(COUNT(F25,G25,Asumsi!$B$16)&lt;3,"",ROUND(F25*(1-G25)/Asumsi!$B$16,0)*Asumsi!$B$16)</x:f>
        <x:v>4000000</x:v>
      </x:c>
      <x:c r="I25" s="75" t="n">
        <x:f>IF(COUNT(E25,H25)&lt;2,"",E25*H25)</x:f>
        <x:v>320000000</x:v>
      </x:c>
      <x:c r="J25" s="75" t="n">
        <x:f>IF(COUNT(D25,I25)&lt;2,"",D25+I25)</x:f>
        <x:v>1880000000</x:v>
      </x:c>
      <x:c r="K25" s="63" t="str">
        <x:f>NIR_ZNT!N25</x:f>
        <x:v>PROKSI IKLAN</x:v>
      </x:c>
      <x:c r="L25" s="63" t="str">
        <x:f>NIR_ZNT!M25</x:f>
        <x:v>LOLOS - PROKSIONAL</x:v>
      </x:c>
      <x:c r="M25" s="64"/>
      <x:c r="N25" s="64"/>
      <x:c r="O25" s="64"/>
      <x:c r="P25" s="64"/>
      <x:c r="Q25" s="64"/>
    </x:row>
    <x:row r="26">
      <x:c r="A26" s="63" t="str">
        <x:v>Sawahan</x:v>
      </x:c>
      <x:c r="B26" s="87" t="n">
        <x:f>Asumsi!$B$17</x:f>
        <x:v>120</x:v>
      </x:c>
      <x:c r="C26" s="75" t="n">
        <x:f>NIR_ZNT!L26</x:f>
        <x:v>16400000</x:v>
      </x:c>
      <x:c r="D26" s="75" t="n">
        <x:f>IF(COUNT(B26,C26)&lt;2,"",B26*C26)</x:f>
        <x:v>1968000000</x:v>
      </x:c>
      <x:c r="E26" s="87" t="n">
        <x:f>Asumsi!$B$18</x:f>
        <x:v>80</x:v>
      </x:c>
      <x:c r="F26" s="75" t="n">
        <x:f>Asumsi!$B$19</x:f>
        <x:v>5000000</x:v>
      </x:c>
      <x:c r="G26" s="76" t="n">
        <x:f>Asumsi!$B$20</x:f>
        <x:v>0.2</x:v>
      </x:c>
      <x:c r="H26" s="75" t="n">
        <x:f>IF(COUNT(F26,G26,Asumsi!$B$16)&lt;3,"",ROUND(F26*(1-G26)/Asumsi!$B$16,0)*Asumsi!$B$16)</x:f>
        <x:v>4000000</x:v>
      </x:c>
      <x:c r="I26" s="75" t="n">
        <x:f>IF(COUNT(E26,H26)&lt;2,"",E26*H26)</x:f>
        <x:v>320000000</x:v>
      </x:c>
      <x:c r="J26" s="75" t="n">
        <x:f>IF(COUNT(D26,I26)&lt;2,"",D26+I26)</x:f>
        <x:v>2288000000</x:v>
      </x:c>
      <x:c r="K26" s="63" t="str">
        <x:f>NIR_ZNT!N26</x:f>
        <x:v>PROKSI IKLAN</x:v>
      </x:c>
      <x:c r="L26" s="63" t="str">
        <x:f>NIR_ZNT!M26</x:f>
        <x:v>LOLOS - PROKSIONAL</x:v>
      </x:c>
      <x:c r="M26" s="64"/>
      <x:c r="N26" s="64"/>
      <x:c r="O26" s="64"/>
      <x:c r="P26" s="64"/>
      <x:c r="Q26" s="64"/>
    </x:row>
    <x:row r="27">
      <x:c r="A27" s="63" t="str">
        <x:v>Semampir</x:v>
      </x:c>
      <x:c r="B27" s="87" t="n">
        <x:f>Asumsi!$B$17</x:f>
        <x:v>120</x:v>
      </x:c>
      <x:c r="C27" s="75" t="n">
        <x:f>NIR_ZNT!L27</x:f>
        <x:v>5800000</x:v>
      </x:c>
      <x:c r="D27" s="75" t="n">
        <x:f>IF(COUNT(B27,C27)&lt;2,"",B27*C27)</x:f>
        <x:v>696000000</x:v>
      </x:c>
      <x:c r="E27" s="87" t="n">
        <x:f>Asumsi!$B$18</x:f>
        <x:v>80</x:v>
      </x:c>
      <x:c r="F27" s="75" t="n">
        <x:f>Asumsi!$B$19</x:f>
        <x:v>5000000</x:v>
      </x:c>
      <x:c r="G27" s="76" t="n">
        <x:f>Asumsi!$B$20</x:f>
        <x:v>0.2</x:v>
      </x:c>
      <x:c r="H27" s="75" t="n">
        <x:f>IF(COUNT(F27,G27,Asumsi!$B$16)&lt;3,"",ROUND(F27*(1-G27)/Asumsi!$B$16,0)*Asumsi!$B$16)</x:f>
        <x:v>4000000</x:v>
      </x:c>
      <x:c r="I27" s="75" t="n">
        <x:f>IF(COUNT(E27,H27)&lt;2,"",E27*H27)</x:f>
        <x:v>320000000</x:v>
      </x:c>
      <x:c r="J27" s="75" t="n">
        <x:f>IF(COUNT(D27,I27)&lt;2,"",D27+I27)</x:f>
        <x:v>1016000000</x:v>
      </x:c>
      <x:c r="K27" s="63" t="str">
        <x:f>NIR_ZNT!N27</x:f>
        <x:v>PROKSI IKLAN</x:v>
      </x:c>
      <x:c r="L27" s="63" t="str">
        <x:f>NIR_ZNT!M27</x:f>
        <x:v>PERLU PECAH ZNT - CV TINGGI</x:v>
      </x:c>
      <x:c r="M27" s="64"/>
      <x:c r="N27" s="64"/>
      <x:c r="O27" s="64"/>
      <x:c r="P27" s="64"/>
      <x:c r="Q27" s="64"/>
    </x:row>
    <x:row r="28">
      <x:c r="A28" s="63" t="str">
        <x:v>Simokerto</x:v>
      </x:c>
      <x:c r="B28" s="87" t="n">
        <x:f>Asumsi!$B$17</x:f>
        <x:v>120</x:v>
      </x:c>
      <x:c r="C28" s="75" t="n">
        <x:f>NIR_ZNT!L28</x:f>
        <x:v>6100000</x:v>
      </x:c>
      <x:c r="D28" s="75" t="n">
        <x:f>IF(COUNT(B28,C28)&lt;2,"",B28*C28)</x:f>
        <x:v>732000000</x:v>
      </x:c>
      <x:c r="E28" s="87" t="n">
        <x:f>Asumsi!$B$18</x:f>
        <x:v>80</x:v>
      </x:c>
      <x:c r="F28" s="75" t="n">
        <x:f>Asumsi!$B$19</x:f>
        <x:v>5000000</x:v>
      </x:c>
      <x:c r="G28" s="76" t="n">
        <x:f>Asumsi!$B$20</x:f>
        <x:v>0.2</x:v>
      </x:c>
      <x:c r="H28" s="75" t="n">
        <x:f>IF(COUNT(F28,G28,Asumsi!$B$16)&lt;3,"",ROUND(F28*(1-G28)/Asumsi!$B$16,0)*Asumsi!$B$16)</x:f>
        <x:v>4000000</x:v>
      </x:c>
      <x:c r="I28" s="75" t="n">
        <x:f>IF(COUNT(E28,H28)&lt;2,"",E28*H28)</x:f>
        <x:v>320000000</x:v>
      </x:c>
      <x:c r="J28" s="75" t="n">
        <x:f>IF(COUNT(D28,I28)&lt;2,"",D28+I28)</x:f>
        <x:v>1052000000</x:v>
      </x:c>
      <x:c r="K28" s="63" t="str">
        <x:f>NIR_ZNT!N28</x:f>
        <x:v>PROKSI IKLAN</x:v>
      </x:c>
      <x:c r="L28" s="63" t="str">
        <x:f>NIR_ZNT!M28</x:f>
        <x:v>LOLOS - PROKSIONAL</x:v>
      </x:c>
      <x:c r="M28" s="64"/>
      <x:c r="N28" s="64"/>
      <x:c r="O28" s="64"/>
      <x:c r="P28" s="64"/>
      <x:c r="Q28" s="64"/>
    </x:row>
    <x:row r="29">
      <x:c r="A29" s="63" t="str">
        <x:v>Sukolilo</x:v>
      </x:c>
      <x:c r="B29" s="87" t="n">
        <x:f>Asumsi!$B$17</x:f>
        <x:v>120</x:v>
      </x:c>
      <x:c r="C29" s="75" t="n">
        <x:f>NIR_ZNT!L29</x:f>
        <x:v>9100000</x:v>
      </x:c>
      <x:c r="D29" s="75" t="n">
        <x:f>IF(COUNT(B29,C29)&lt;2,"",B29*C29)</x:f>
        <x:v>1092000000</x:v>
      </x:c>
      <x:c r="E29" s="87" t="n">
        <x:f>Asumsi!$B$18</x:f>
        <x:v>80</x:v>
      </x:c>
      <x:c r="F29" s="75" t="n">
        <x:f>Asumsi!$B$19</x:f>
        <x:v>5000000</x:v>
      </x:c>
      <x:c r="G29" s="76" t="n">
        <x:f>Asumsi!$B$20</x:f>
        <x:v>0.2</x:v>
      </x:c>
      <x:c r="H29" s="75" t="n">
        <x:f>IF(COUNT(F29,G29,Asumsi!$B$16)&lt;3,"",ROUND(F29*(1-G29)/Asumsi!$B$16,0)*Asumsi!$B$16)</x:f>
        <x:v>4000000</x:v>
      </x:c>
      <x:c r="I29" s="75" t="n">
        <x:f>IF(COUNT(E29,H29)&lt;2,"",E29*H29)</x:f>
        <x:v>320000000</x:v>
      </x:c>
      <x:c r="J29" s="75" t="n">
        <x:f>IF(COUNT(D29,I29)&lt;2,"",D29+I29)</x:f>
        <x:v>1412000000</x:v>
      </x:c>
      <x:c r="K29" s="63" t="str">
        <x:f>NIR_ZNT!N29</x:f>
        <x:v>PROKSI IKLAN</x:v>
      </x:c>
      <x:c r="L29" s="63" t="str">
        <x:f>NIR_ZNT!M29</x:f>
        <x:v>LOLOS - PROKSIONAL</x:v>
      </x:c>
      <x:c r="M29" s="64"/>
      <x:c r="N29" s="64"/>
      <x:c r="O29" s="64"/>
      <x:c r="P29" s="64"/>
      <x:c r="Q29" s="64"/>
    </x:row>
    <x:row r="30">
      <x:c r="A30" s="63" t="str">
        <x:v>Sukomanunggal</x:v>
      </x:c>
      <x:c r="B30" s="87" t="n">
        <x:f>Asumsi!$B$17</x:f>
        <x:v>120</x:v>
      </x:c>
      <x:c r="C30" s="75" t="n">
        <x:f>NIR_ZNT!L30</x:f>
        <x:v>17400000</x:v>
      </x:c>
      <x:c r="D30" s="75" t="n">
        <x:f>IF(COUNT(B30,C30)&lt;2,"",B30*C30)</x:f>
        <x:v>2088000000</x:v>
      </x:c>
      <x:c r="E30" s="87" t="n">
        <x:f>Asumsi!$B$18</x:f>
        <x:v>80</x:v>
      </x:c>
      <x:c r="F30" s="75" t="n">
        <x:f>Asumsi!$B$19</x:f>
        <x:v>5000000</x:v>
      </x:c>
      <x:c r="G30" s="76" t="n">
        <x:f>Asumsi!$B$20</x:f>
        <x:v>0.2</x:v>
      </x:c>
      <x:c r="H30" s="75" t="n">
        <x:f>IF(COUNT(F30,G30,Asumsi!$B$16)&lt;3,"",ROUND(F30*(1-G30)/Asumsi!$B$16,0)*Asumsi!$B$16)</x:f>
        <x:v>4000000</x:v>
      </x:c>
      <x:c r="I30" s="75" t="n">
        <x:f>IF(COUNT(E30,H30)&lt;2,"",E30*H30)</x:f>
        <x:v>320000000</x:v>
      </x:c>
      <x:c r="J30" s="75" t="n">
        <x:f>IF(COUNT(D30,I30)&lt;2,"",D30+I30)</x:f>
        <x:v>2408000000</x:v>
      </x:c>
      <x:c r="K30" s="63" t="str">
        <x:f>NIR_ZNT!N30</x:f>
        <x:v>PROKSI IKLAN</x:v>
      </x:c>
      <x:c r="L30" s="63" t="str">
        <x:f>NIR_ZNT!M30</x:f>
        <x:v>LOLOS - PROKSIONAL</x:v>
      </x:c>
      <x:c r="M30" s="64"/>
      <x:c r="N30" s="64"/>
      <x:c r="O30" s="64"/>
      <x:c r="P30" s="64"/>
      <x:c r="Q30" s="64"/>
    </x:row>
    <x:row r="31">
      <x:c r="A31" s="63" t="str">
        <x:v>Tambaksari</x:v>
      </x:c>
      <x:c r="B31" s="87" t="n">
        <x:f>Asumsi!$B$17</x:f>
        <x:v>120</x:v>
      </x:c>
      <x:c r="C31" s="75" t="n">
        <x:f>NIR_ZNT!L31</x:f>
        <x:v>21100000</x:v>
      </x:c>
      <x:c r="D31" s="75" t="n">
        <x:f>IF(COUNT(B31,C31)&lt;2,"",B31*C31)</x:f>
        <x:v>2532000000</x:v>
      </x:c>
      <x:c r="E31" s="87" t="n">
        <x:f>Asumsi!$B$18</x:f>
        <x:v>80</x:v>
      </x:c>
      <x:c r="F31" s="75" t="n">
        <x:f>Asumsi!$B$19</x:f>
        <x:v>5000000</x:v>
      </x:c>
      <x:c r="G31" s="76" t="n">
        <x:f>Asumsi!$B$20</x:f>
        <x:v>0.2</x:v>
      </x:c>
      <x:c r="H31" s="75" t="n">
        <x:f>IF(COUNT(F31,G31,Asumsi!$B$16)&lt;3,"",ROUND(F31*(1-G31)/Asumsi!$B$16,0)*Asumsi!$B$16)</x:f>
        <x:v>4000000</x:v>
      </x:c>
      <x:c r="I31" s="75" t="n">
        <x:f>IF(COUNT(E31,H31)&lt;2,"",E31*H31)</x:f>
        <x:v>320000000</x:v>
      </x:c>
      <x:c r="J31" s="75" t="n">
        <x:f>IF(COUNT(D31,I31)&lt;2,"",D31+I31)</x:f>
        <x:v>2852000000</x:v>
      </x:c>
      <x:c r="K31" s="63" t="str">
        <x:f>NIR_ZNT!N31</x:f>
        <x:v>PROKSI IKLAN</x:v>
      </x:c>
      <x:c r="L31" s="63" t="str">
        <x:f>NIR_ZNT!M31</x:f>
        <x:v>LOLOS - PROKSIONAL</x:v>
      </x:c>
      <x:c r="M31" s="64"/>
      <x:c r="N31" s="64"/>
      <x:c r="O31" s="64"/>
      <x:c r="P31" s="64"/>
      <x:c r="Q31" s="64"/>
    </x:row>
    <x:row r="32">
      <x:c r="A32" s="63" t="str">
        <x:v>Tandes</x:v>
      </x:c>
      <x:c r="B32" s="87" t="n">
        <x:f>Asumsi!$B$17</x:f>
        <x:v>120</x:v>
      </x:c>
      <x:c r="C32" s="75" t="n">
        <x:f>NIR_ZNT!L32</x:f>
        <x:v>7000000</x:v>
      </x:c>
      <x:c r="D32" s="75" t="n">
        <x:f>IF(COUNT(B32,C32)&lt;2,"",B32*C32)</x:f>
        <x:v>840000000</x:v>
      </x:c>
      <x:c r="E32" s="87" t="n">
        <x:f>Asumsi!$B$18</x:f>
        <x:v>80</x:v>
      </x:c>
      <x:c r="F32" s="75" t="n">
        <x:f>Asumsi!$B$19</x:f>
        <x:v>5000000</x:v>
      </x:c>
      <x:c r="G32" s="76" t="n">
        <x:f>Asumsi!$B$20</x:f>
        <x:v>0.2</x:v>
      </x:c>
      <x:c r="H32" s="75" t="n">
        <x:f>IF(COUNT(F32,G32,Asumsi!$B$16)&lt;3,"",ROUND(F32*(1-G32)/Asumsi!$B$16,0)*Asumsi!$B$16)</x:f>
        <x:v>4000000</x:v>
      </x:c>
      <x:c r="I32" s="75" t="n">
        <x:f>IF(COUNT(E32,H32)&lt;2,"",E32*H32)</x:f>
        <x:v>320000000</x:v>
      </x:c>
      <x:c r="J32" s="75" t="n">
        <x:f>IF(COUNT(D32,I32)&lt;2,"",D32+I32)</x:f>
        <x:v>1160000000</x:v>
      </x:c>
      <x:c r="K32" s="63" t="str">
        <x:f>NIR_ZNT!N32</x:f>
        <x:v>PROKSI IKLAN</x:v>
      </x:c>
      <x:c r="L32" s="63" t="str">
        <x:f>NIR_ZNT!M32</x:f>
        <x:v>LOLOS - PROKSIONAL</x:v>
      </x:c>
      <x:c r="M32" s="64"/>
      <x:c r="N32" s="64"/>
      <x:c r="O32" s="64"/>
      <x:c r="P32" s="64"/>
      <x:c r="Q32" s="64"/>
    </x:row>
    <x:row r="33">
      <x:c r="A33" s="63" t="str">
        <x:v>Tegalsari</x:v>
      </x:c>
      <x:c r="B33" s="87" t="n">
        <x:f>Asumsi!$B$17</x:f>
        <x:v>120</x:v>
      </x:c>
      <x:c r="C33" s="75" t="n">
        <x:f>NIR_ZNT!L33</x:f>
        <x:v>23100000</x:v>
      </x:c>
      <x:c r="D33" s="75" t="n">
        <x:f>IF(COUNT(B33,C33)&lt;2,"",B33*C33)</x:f>
        <x:v>2772000000</x:v>
      </x:c>
      <x:c r="E33" s="87" t="n">
        <x:f>Asumsi!$B$18</x:f>
        <x:v>80</x:v>
      </x:c>
      <x:c r="F33" s="75" t="n">
        <x:f>Asumsi!$B$19</x:f>
        <x:v>5000000</x:v>
      </x:c>
      <x:c r="G33" s="76" t="n">
        <x:f>Asumsi!$B$20</x:f>
        <x:v>0.2</x:v>
      </x:c>
      <x:c r="H33" s="75" t="n">
        <x:f>IF(COUNT(F33,G33,Asumsi!$B$16)&lt;3,"",ROUND(F33*(1-G33)/Asumsi!$B$16,0)*Asumsi!$B$16)</x:f>
        <x:v>4000000</x:v>
      </x:c>
      <x:c r="I33" s="75" t="n">
        <x:f>IF(COUNT(E33,H33)&lt;2,"",E33*H33)</x:f>
        <x:v>320000000</x:v>
      </x:c>
      <x:c r="J33" s="75" t="n">
        <x:f>IF(COUNT(D33,I33)&lt;2,"",D33+I33)</x:f>
        <x:v>3092000000</x:v>
      </x:c>
      <x:c r="K33" s="63" t="str">
        <x:f>NIR_ZNT!N33</x:f>
        <x:v>PROKSI IKLAN</x:v>
      </x:c>
      <x:c r="L33" s="63" t="str">
        <x:f>NIR_ZNT!M33</x:f>
        <x:v>LOLOS - PROKSIONAL</x:v>
      </x:c>
      <x:c r="M33" s="64"/>
      <x:c r="N33" s="64"/>
      <x:c r="O33" s="64"/>
      <x:c r="P33" s="64"/>
      <x:c r="Q33" s="64"/>
    </x:row>
    <x:row r="34">
      <x:c r="A34" s="63" t="str">
        <x:v>Tenggilis Mejoyo</x:v>
      </x:c>
      <x:c r="B34" s="87" t="n">
        <x:f>Asumsi!$B$17</x:f>
        <x:v>120</x:v>
      </x:c>
      <x:c r="C34" s="75" t="n">
        <x:f>NIR_ZNT!L34</x:f>
        <x:v>8300000</x:v>
      </x:c>
      <x:c r="D34" s="75" t="n">
        <x:f>IF(COUNT(B34,C34)&lt;2,"",B34*C34)</x:f>
        <x:v>996000000</x:v>
      </x:c>
      <x:c r="E34" s="87" t="n">
        <x:f>Asumsi!$B$18</x:f>
        <x:v>80</x:v>
      </x:c>
      <x:c r="F34" s="75" t="n">
        <x:f>Asumsi!$B$19</x:f>
        <x:v>5000000</x:v>
      </x:c>
      <x:c r="G34" s="76" t="n">
        <x:f>Asumsi!$B$20</x:f>
        <x:v>0.2</x:v>
      </x:c>
      <x:c r="H34" s="75" t="n">
        <x:f>IF(COUNT(F34,G34,Asumsi!$B$16)&lt;3,"",ROUND(F34*(1-G34)/Asumsi!$B$16,0)*Asumsi!$B$16)</x:f>
        <x:v>4000000</x:v>
      </x:c>
      <x:c r="I34" s="75" t="n">
        <x:f>IF(COUNT(E34,H34)&lt;2,"",E34*H34)</x:f>
        <x:v>320000000</x:v>
      </x:c>
      <x:c r="J34" s="75" t="n">
        <x:f>IF(COUNT(D34,I34)&lt;2,"",D34+I34)</x:f>
        <x:v>1316000000</x:v>
      </x:c>
      <x:c r="K34" s="63" t="str">
        <x:f>NIR_ZNT!N34</x:f>
        <x:v>PROKSI IKLAN</x:v>
      </x:c>
      <x:c r="L34" s="63" t="str">
        <x:f>NIR_ZNT!M34</x:f>
        <x:v>PERLU PECAH ZNT - CV TINGGI</x:v>
      </x:c>
      <x:c r="M34" s="64"/>
      <x:c r="N34" s="64"/>
      <x:c r="O34" s="64"/>
      <x:c r="P34" s="64"/>
      <x:c r="Q34" s="64"/>
    </x:row>
    <x:row r="35">
      <x:c r="A35" s="63" t="str">
        <x:v>Wiyung</x:v>
      </x:c>
      <x:c r="B35" s="87" t="n">
        <x:f>Asumsi!$B$17</x:f>
        <x:v>120</x:v>
      </x:c>
      <x:c r="C35" s="75" t="n">
        <x:f>NIR_ZNT!L35</x:f>
        <x:v>16500000</x:v>
      </x:c>
      <x:c r="D35" s="75" t="n">
        <x:f>IF(COUNT(B35,C35)&lt;2,"",B35*C35)</x:f>
        <x:v>1980000000</x:v>
      </x:c>
      <x:c r="E35" s="87" t="n">
        <x:f>Asumsi!$B$18</x:f>
        <x:v>80</x:v>
      </x:c>
      <x:c r="F35" s="75" t="n">
        <x:f>Asumsi!$B$19</x:f>
        <x:v>5000000</x:v>
      </x:c>
      <x:c r="G35" s="76" t="n">
        <x:f>Asumsi!$B$20</x:f>
        <x:v>0.2</x:v>
      </x:c>
      <x:c r="H35" s="75" t="n">
        <x:f>IF(COUNT(F35,G35,Asumsi!$B$16)&lt;3,"",ROUND(F35*(1-G35)/Asumsi!$B$16,0)*Asumsi!$B$16)</x:f>
        <x:v>4000000</x:v>
      </x:c>
      <x:c r="I35" s="75" t="n">
        <x:f>IF(COUNT(E35,H35)&lt;2,"",E35*H35)</x:f>
        <x:v>320000000</x:v>
      </x:c>
      <x:c r="J35" s="75" t="n">
        <x:f>IF(COUNT(D35,I35)&lt;2,"",D35+I35)</x:f>
        <x:v>2300000000</x:v>
      </x:c>
      <x:c r="K35" s="63" t="str">
        <x:f>NIR_ZNT!N35</x:f>
        <x:v>PROKSI IKLAN</x:v>
      </x:c>
      <x:c r="L35" s="63" t="str">
        <x:f>NIR_ZNT!M35</x:f>
        <x:v>LOLOS - PROKSIONAL</x:v>
      </x:c>
      <x:c r="M35" s="64"/>
      <x:c r="N35" s="64"/>
      <x:c r="O35" s="64"/>
      <x:c r="P35" s="64"/>
      <x:c r="Q35" s="64"/>
    </x:row>
    <x:row r="36">
      <x:c r="A36" s="63" t="str">
        <x:v>Wonocolo</x:v>
      </x:c>
      <x:c r="B36" s="87" t="n">
        <x:f>Asumsi!$B$17</x:f>
        <x:v>120</x:v>
      </x:c>
      <x:c r="C36" s="75" t="n">
        <x:f>NIR_ZNT!L36</x:f>
        <x:v>10400000</x:v>
      </x:c>
      <x:c r="D36" s="75" t="n">
        <x:f>IF(COUNT(B36,C36)&lt;2,"",B36*C36)</x:f>
        <x:v>1248000000</x:v>
      </x:c>
      <x:c r="E36" s="87" t="n">
        <x:f>Asumsi!$B$18</x:f>
        <x:v>80</x:v>
      </x:c>
      <x:c r="F36" s="75" t="n">
        <x:f>Asumsi!$B$19</x:f>
        <x:v>5000000</x:v>
      </x:c>
      <x:c r="G36" s="76" t="n">
        <x:f>Asumsi!$B$20</x:f>
        <x:v>0.2</x:v>
      </x:c>
      <x:c r="H36" s="75" t="n">
        <x:f>IF(COUNT(F36,G36,Asumsi!$B$16)&lt;3,"",ROUND(F36*(1-G36)/Asumsi!$B$16,0)*Asumsi!$B$16)</x:f>
        <x:v>4000000</x:v>
      </x:c>
      <x:c r="I36" s="75" t="n">
        <x:f>IF(COUNT(E36,H36)&lt;2,"",E36*H36)</x:f>
        <x:v>320000000</x:v>
      </x:c>
      <x:c r="J36" s="75" t="n">
        <x:f>IF(COUNT(D36,I36)&lt;2,"",D36+I36)</x:f>
        <x:v>1568000000</x:v>
      </x:c>
      <x:c r="K36" s="63" t="str">
        <x:f>NIR_ZNT!N36</x:f>
        <x:v>PROKSI IKLAN</x:v>
      </x:c>
      <x:c r="L36" s="63" t="str">
        <x:f>NIR_ZNT!M36</x:f>
        <x:v>LOLOS - PROKSIONAL</x:v>
      </x:c>
      <x:c r="M36" s="64"/>
      <x:c r="N36" s="64"/>
      <x:c r="O36" s="64"/>
      <x:c r="P36" s="64"/>
      <x:c r="Q36" s="64"/>
    </x:row>
    <x:row r="37">
      <x:c r="A37" s="63" t="str">
        <x:v>Wonokromo</x:v>
      </x:c>
      <x:c r="B37" s="87" t="n">
        <x:f>Asumsi!$B$17</x:f>
        <x:v>120</x:v>
      </x:c>
      <x:c r="C37" s="75" t="n">
        <x:f>NIR_ZNT!L37</x:f>
        <x:v>17100000</x:v>
      </x:c>
      <x:c r="D37" s="75" t="n">
        <x:f>IF(COUNT(B37,C37)&lt;2,"",B37*C37)</x:f>
        <x:v>2052000000</x:v>
      </x:c>
      <x:c r="E37" s="87" t="n">
        <x:f>Asumsi!$B$18</x:f>
        <x:v>80</x:v>
      </x:c>
      <x:c r="F37" s="75" t="n">
        <x:f>Asumsi!$B$19</x:f>
        <x:v>5000000</x:v>
      </x:c>
      <x:c r="G37" s="76" t="n">
        <x:f>Asumsi!$B$20</x:f>
        <x:v>0.2</x:v>
      </x:c>
      <x:c r="H37" s="75" t="n">
        <x:f>IF(COUNT(F37,G37,Asumsi!$B$16)&lt;3,"",ROUND(F37*(1-G37)/Asumsi!$B$16,0)*Asumsi!$B$16)</x:f>
        <x:v>4000000</x:v>
      </x:c>
      <x:c r="I37" s="75" t="n">
        <x:f>IF(COUNT(E37,H37)&lt;2,"",E37*H37)</x:f>
        <x:v>320000000</x:v>
      </x:c>
      <x:c r="J37" s="75" t="n">
        <x:f>IF(COUNT(D37,I37)&lt;2,"",D37+I37)</x:f>
        <x:v>2372000000</x:v>
      </x:c>
      <x:c r="K37" s="63" t="str">
        <x:f>NIR_ZNT!N37</x:f>
        <x:v>PROKSI IKLAN</x:v>
      </x:c>
      <x:c r="L37" s="63" t="str">
        <x:f>NIR_ZNT!M37</x:f>
        <x:v>LOLOS - PROKSIONAL</x:v>
      </x:c>
      <x:c r="M37" s="64"/>
      <x:c r="N37" s="64"/>
      <x:c r="O37" s="64"/>
      <x:c r="P37" s="64"/>
      <x:c r="Q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23" hidden="0" customWidth="1"/>
    <x:col min="5" max="5" width="16" hidden="0" customWidth="1"/>
    <x:col min="6" max="6" width="22" hidden="0" customWidth="1"/>
    <x:col min="7" max="7" width="15" hidden="0" customWidth="1"/>
    <x:col min="8" max="8" width="26" hidden="0" customWidth="1"/>
    <x:col min="9" max="9" width="34" hidden="0" customWidth="1"/>
  </x:cols>
  <x:sheetData>
    <x:row r="1" ht="26" customHeight="1">
      <x:c r="A1" s="71" t="str">
        <x:v>Tahap 4 - Skenario PBB-P2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Tarif dan NJOPTKP mengikuti Perda Surabaya 7/2023; persentase DPP 20% adalah asumsi skenario minimum dan bukan kebijakan objek tertentu.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</x:row>
    <x:row r="6" ht="32" customHeight="1">
      <x:c r="A6" s="69" t="str">
        <x:v>Kecamatan</x:v>
      </x:c>
      <x:c r="B6" s="69" t="str">
        <x:v>NJOP_Total</x:v>
      </x:c>
      <x:c r="C6" s="69" t="str">
        <x:v>NJOPTKP</x:v>
      </x:c>
      <x:c r="D6" s="69" t="str">
        <x:v>NJOP_Kena_Pajak</x:v>
      </x:c>
      <x:c r="E6" s="69" t="str">
        <x:v>DPP_Persen</x:v>
      </x:c>
      <x:c r="F6" s="69" t="str">
        <x:v>DPP</x:v>
      </x:c>
      <x:c r="G6" s="69" t="str">
        <x:v>Tarif_PBB</x:v>
      </x:c>
      <x:c r="H6" s="69" t="str">
        <x:v>PBB_Terutang_Skenario</x:v>
      </x:c>
      <x:c r="I6" s="69" t="str">
        <x:v>Status</x:v>
      </x:c>
      <x:c r="J6" s="64"/>
      <x:c r="K6" s="64"/>
      <x:c r="L6" s="64"/>
      <x:c r="M6" s="64"/>
      <x:c r="N6" s="64"/>
      <x:c r="O6" s="64"/>
      <x:c r="P6" s="64"/>
      <x:c r="Q6" s="64"/>
    </x:row>
    <x:row r="7">
      <x:c r="A7" s="63" t="str">
        <x:v>Asemrowo</x:v>
      </x:c>
      <x:c r="B7" s="75" t="n">
        <x:f>Objek_Representatif!J7</x:f>
        <x:v>896000000</x:v>
      </x:c>
      <x:c r="C7" s="75" t="n">
        <x:f>Asumsi!$B$21</x:f>
        <x:v>15000000</x:v>
      </x:c>
      <x:c r="D7" s="75" t="n">
        <x:f>IF(COUNT(B7,C7)&lt;2,"",MAX(B7-C7,0))</x:f>
        <x:v>881000000</x:v>
      </x:c>
      <x:c r="E7" s="76" t="n">
        <x:f>Asumsi!$B$22</x:f>
        <x:v>0.2</x:v>
      </x:c>
      <x:c r="F7" s="75" t="n">
        <x:f>IF(COUNT(D7,E7)&lt;2,"",D7*E7)</x:f>
        <x:v>176200000</x:v>
      </x:c>
      <x:c r="G7" s="88" t="n">
        <x:f>IF(COUNT(B7)&lt;1,"",IF(B7&lt;100000000,0,IF(B7&lt;=200000000,0.0005,IF(B7&lt;=1000000000,0.001,IF(B7&lt;=2000000000,0.0015,IF(B7&lt;=10000000000,0.002,IF(B7&lt;=50000000000,0.0025,0.003)))))))</x:f>
        <x:v>0.001</x:v>
      </x:c>
      <x:c r="H7" s="75" t="n">
        <x:f>IF(COUNT(F7,G7)&lt;2,"",F7*G7)</x:f>
        <x:v>176200</x:v>
      </x:c>
      <x:c r="I7" s="63" t="str">
        <x:f>IF(COUNT(B7)&lt;1,"INPUT KURANG",IF(B7&lt;100000000,"TARIF &lt; RP100 JT PERLU KONFIRMASI","SKENARIO - BUKAN KETETAPAN"))</x:f>
        <x:v>SKENARIO - BUKAN KETETAPAN</x:v>
      </x:c>
      <x:c r="J7" s="64"/>
      <x:c r="K7" s="64"/>
      <x:c r="L7" s="64"/>
      <x:c r="M7" s="64"/>
      <x:c r="N7" s="64"/>
      <x:c r="O7" s="64"/>
      <x:c r="P7" s="64"/>
      <x:c r="Q7" s="64"/>
    </x:row>
    <x:row r="8">
      <x:c r="A8" s="63" t="str">
        <x:v>Benowo</x:v>
      </x:c>
      <x:c r="B8" s="75" t="n">
        <x:f>Objek_Representatif!J8</x:f>
        <x:v>896000000</x:v>
      </x:c>
      <x:c r="C8" s="75" t="n">
        <x:f>Asumsi!$B$21</x:f>
        <x:v>15000000</x:v>
      </x:c>
      <x:c r="D8" s="75" t="n">
        <x:f>IF(COUNT(B8,C8)&lt;2,"",MAX(B8-C8,0))</x:f>
        <x:v>881000000</x:v>
      </x:c>
      <x:c r="E8" s="76" t="n">
        <x:f>Asumsi!$B$22</x:f>
        <x:v>0.2</x:v>
      </x:c>
      <x:c r="F8" s="75" t="n">
        <x:f>IF(COUNT(D8,E8)&lt;2,"",D8*E8)</x:f>
        <x:v>176200000</x:v>
      </x:c>
      <x:c r="G8" s="88" t="n">
        <x:f>IF(COUNT(B8)&lt;1,"",IF(B8&lt;100000000,0,IF(B8&lt;=200000000,0.0005,IF(B8&lt;=1000000000,0.001,IF(B8&lt;=2000000000,0.0015,IF(B8&lt;=10000000000,0.002,IF(B8&lt;=50000000000,0.0025,0.003)))))))</x:f>
        <x:v>0.001</x:v>
      </x:c>
      <x:c r="H8" s="75" t="n">
        <x:f>IF(COUNT(F8,G8)&lt;2,"",F8*G8)</x:f>
        <x:v>176200</x:v>
      </x:c>
      <x:c r="I8" s="63" t="str">
        <x:f>IF(COUNT(B8)&lt;1,"INPUT KURANG",IF(B8&lt;100000000,"TARIF &lt; RP100 JT PERLU KONFIRMASI","SKENARIO - BUKAN KETETAPAN"))</x:f>
        <x:v>SKENARIO - BUKAN KETETAPAN</x:v>
      </x:c>
      <x:c r="J8" s="64"/>
      <x:c r="K8" s="64"/>
      <x:c r="L8" s="64"/>
      <x:c r="M8" s="64"/>
      <x:c r="N8" s="64"/>
      <x:c r="O8" s="64"/>
      <x:c r="P8" s="64"/>
      <x:c r="Q8" s="64"/>
    </x:row>
    <x:row r="9">
      <x:c r="A9" s="63" t="str">
        <x:v>Bubutan</x:v>
      </x:c>
      <x:c r="B9" s="75" t="n">
        <x:f>Objek_Representatif!J9</x:f>
        <x:v>2516000000</x:v>
      </x:c>
      <x:c r="C9" s="75" t="n">
        <x:f>Asumsi!$B$21</x:f>
        <x:v>15000000</x:v>
      </x:c>
      <x:c r="D9" s="75" t="n">
        <x:f>IF(COUNT(B9,C9)&lt;2,"",MAX(B9-C9,0))</x:f>
        <x:v>2501000000</x:v>
      </x:c>
      <x:c r="E9" s="76" t="n">
        <x:f>Asumsi!$B$22</x:f>
        <x:v>0.2</x:v>
      </x:c>
      <x:c r="F9" s="75" t="n">
        <x:f>IF(COUNT(D9,E9)&lt;2,"",D9*E9)</x:f>
        <x:v>500200000</x:v>
      </x:c>
      <x:c r="G9" s="88" t="n">
        <x:f>IF(COUNT(B9)&lt;1,"",IF(B9&lt;100000000,0,IF(B9&lt;=200000000,0.0005,IF(B9&lt;=1000000000,0.001,IF(B9&lt;=2000000000,0.0015,IF(B9&lt;=10000000000,0.002,IF(B9&lt;=50000000000,0.0025,0.003)))))))</x:f>
        <x:v>0.002</x:v>
      </x:c>
      <x:c r="H9" s="75" t="n">
        <x:f>IF(COUNT(F9,G9)&lt;2,"",F9*G9)</x:f>
        <x:v>1000400</x:v>
      </x:c>
      <x:c r="I9" s="63" t="str">
        <x:f>IF(COUNT(B9)&lt;1,"INPUT KURANG",IF(B9&lt;100000000,"TARIF &lt; RP100 JT PERLU KONFIRMASI","SKENARIO - BUKAN KETETAPAN"))</x:f>
        <x:v>SKENARIO - BUKAN KETETAPAN</x:v>
      </x:c>
      <x:c r="J9" s="64"/>
      <x:c r="K9" s="64"/>
      <x:c r="L9" s="64"/>
      <x:c r="M9" s="64"/>
      <x:c r="N9" s="64"/>
      <x:c r="O9" s="64"/>
      <x:c r="P9" s="64"/>
      <x:c r="Q9" s="64"/>
    </x:row>
    <x:row r="10">
      <x:c r="A10" s="63" t="str">
        <x:v>Bulak</x:v>
      </x:c>
      <x:c r="B10" s="75" t="n">
        <x:f>Objek_Representatif!J10</x:f>
        <x:v>1364000000</x:v>
      </x:c>
      <x:c r="C10" s="75" t="n">
        <x:f>Asumsi!$B$21</x:f>
        <x:v>15000000</x:v>
      </x:c>
      <x:c r="D10" s="75" t="n">
        <x:f>IF(COUNT(B10,C10)&lt;2,"",MAX(B10-C10,0))</x:f>
        <x:v>1349000000</x:v>
      </x:c>
      <x:c r="E10" s="76" t="n">
        <x:f>Asumsi!$B$22</x:f>
        <x:v>0.2</x:v>
      </x:c>
      <x:c r="F10" s="75" t="n">
        <x:f>IF(COUNT(D10,E10)&lt;2,"",D10*E10)</x:f>
        <x:v>269800000</x:v>
      </x:c>
      <x:c r="G10" s="88" t="n">
        <x:f>IF(COUNT(B10)&lt;1,"",IF(B10&lt;100000000,0,IF(B10&lt;=200000000,0.0005,IF(B10&lt;=1000000000,0.001,IF(B10&lt;=2000000000,0.0015,IF(B10&lt;=10000000000,0.002,IF(B10&lt;=50000000000,0.0025,0.003)))))))</x:f>
        <x:v>0.0015</x:v>
      </x:c>
      <x:c r="H10" s="75" t="n">
        <x:f>IF(COUNT(F10,G10)&lt;2,"",F10*G10)</x:f>
        <x:v>404700</x:v>
      </x:c>
      <x:c r="I10" s="63" t="str">
        <x:f>IF(COUNT(B10)&lt;1,"INPUT KURANG",IF(B10&lt;100000000,"TARIF &lt; RP100 JT PERLU KONFIRMASI","SKENARIO - BUKAN KETETAPAN"))</x:f>
        <x:v>SKENARIO - BUKAN KETETAPAN</x:v>
      </x:c>
      <x:c r="J10" s="64"/>
      <x:c r="K10" s="64"/>
      <x:c r="L10" s="64"/>
      <x:c r="M10" s="64"/>
      <x:c r="N10" s="64"/>
      <x:c r="O10" s="64"/>
      <x:c r="P10" s="64"/>
      <x:c r="Q10" s="64"/>
    </x:row>
    <x:row r="11">
      <x:c r="A11" s="63" t="str">
        <x:v>Dukuh Pakis</x:v>
      </x:c>
      <x:c r="B11" s="75" t="n">
        <x:f>Objek_Representatif!J11</x:f>
        <x:v>4076000000</x:v>
      </x:c>
      <x:c r="C11" s="75" t="n">
        <x:f>Asumsi!$B$21</x:f>
        <x:v>15000000</x:v>
      </x:c>
      <x:c r="D11" s="75" t="n">
        <x:f>IF(COUNT(B11,C11)&lt;2,"",MAX(B11-C11,0))</x:f>
        <x:v>4061000000</x:v>
      </x:c>
      <x:c r="E11" s="76" t="n">
        <x:f>Asumsi!$B$22</x:f>
        <x:v>0.2</x:v>
      </x:c>
      <x:c r="F11" s="75" t="n">
        <x:f>IF(COUNT(D11,E11)&lt;2,"",D11*E11)</x:f>
        <x:v>812200000</x:v>
      </x:c>
      <x:c r="G11" s="88" t="n">
        <x:f>IF(COUNT(B11)&lt;1,"",IF(B11&lt;100000000,0,IF(B11&lt;=200000000,0.0005,IF(B11&lt;=1000000000,0.001,IF(B11&lt;=2000000000,0.0015,IF(B11&lt;=10000000000,0.002,IF(B11&lt;=50000000000,0.0025,0.003)))))))</x:f>
        <x:v>0.002</x:v>
      </x:c>
      <x:c r="H11" s="75" t="n">
        <x:f>IF(COUNT(F11,G11)&lt;2,"",F11*G11)</x:f>
        <x:v>1624400</x:v>
      </x:c>
      <x:c r="I11" s="63" t="str">
        <x:f>IF(COUNT(B11)&lt;1,"INPUT KURANG",IF(B11&lt;100000000,"TARIF &lt; RP100 JT PERLU KONFIRMASI","SKENARIO - BUKAN KETETAPAN"))</x:f>
        <x:v>SKENARIO - BUKAN KETETAPAN</x:v>
      </x:c>
      <x:c r="J11" s="64"/>
      <x:c r="K11" s="64"/>
      <x:c r="L11" s="64"/>
      <x:c r="M11" s="64"/>
      <x:c r="N11" s="64"/>
      <x:c r="O11" s="64"/>
      <x:c r="P11" s="64"/>
      <x:c r="Q11" s="64"/>
    </x:row>
    <x:row r="12">
      <x:c r="A12" s="63" t="str">
        <x:v>Gayungan</x:v>
      </x:c>
      <x:c r="B12" s="75" t="n">
        <x:f>Objek_Representatif!J12</x:f>
        <x:v>1256000000</x:v>
      </x:c>
      <x:c r="C12" s="75" t="n">
        <x:f>Asumsi!$B$21</x:f>
        <x:v>15000000</x:v>
      </x:c>
      <x:c r="D12" s="75" t="n">
        <x:f>IF(COUNT(B12,C12)&lt;2,"",MAX(B12-C12,0))</x:f>
        <x:v>1241000000</x:v>
      </x:c>
      <x:c r="E12" s="76" t="n">
        <x:f>Asumsi!$B$22</x:f>
        <x:v>0.2</x:v>
      </x:c>
      <x:c r="F12" s="75" t="n">
        <x:f>IF(COUNT(D12,E12)&lt;2,"",D12*E12)</x:f>
        <x:v>248200000</x:v>
      </x:c>
      <x:c r="G12" s="88" t="n">
        <x:f>IF(COUNT(B12)&lt;1,"",IF(B12&lt;100000000,0,IF(B12&lt;=200000000,0.0005,IF(B12&lt;=1000000000,0.001,IF(B12&lt;=2000000000,0.0015,IF(B12&lt;=10000000000,0.002,IF(B12&lt;=50000000000,0.0025,0.003)))))))</x:f>
        <x:v>0.0015</x:v>
      </x:c>
      <x:c r="H12" s="75" t="n">
        <x:f>IF(COUNT(F12,G12)&lt;2,"",F12*G12)</x:f>
        <x:v>372300</x:v>
      </x:c>
      <x:c r="I12" s="63" t="str">
        <x:f>IF(COUNT(B12)&lt;1,"INPUT KURANG",IF(B12&lt;100000000,"TARIF &lt; RP100 JT PERLU KONFIRMASI","SKENARIO - BUKAN KETETAPAN"))</x:f>
        <x:v>SKENARIO - BUKAN KETETAPAN</x:v>
      </x:c>
      <x:c r="J12" s="64"/>
      <x:c r="K12" s="64"/>
      <x:c r="L12" s="64"/>
      <x:c r="M12" s="64"/>
      <x:c r="N12" s="64"/>
      <x:c r="O12" s="64"/>
      <x:c r="P12" s="64"/>
      <x:c r="Q12" s="64"/>
    </x:row>
    <x:row r="13">
      <x:c r="A13" s="63" t="str">
        <x:v>Genteng</x:v>
      </x:c>
      <x:c r="B13" s="75" t="n">
        <x:f>Objek_Representatif!J13</x:f>
        <x:v>2408000000</x:v>
      </x:c>
      <x:c r="C13" s="75" t="n">
        <x:f>Asumsi!$B$21</x:f>
        <x:v>15000000</x:v>
      </x:c>
      <x:c r="D13" s="75" t="n">
        <x:f>IF(COUNT(B13,C13)&lt;2,"",MAX(B13-C13,0))</x:f>
        <x:v>2393000000</x:v>
      </x:c>
      <x:c r="E13" s="76" t="n">
        <x:f>Asumsi!$B$22</x:f>
        <x:v>0.2</x:v>
      </x:c>
      <x:c r="F13" s="75" t="n">
        <x:f>IF(COUNT(D13,E13)&lt;2,"",D13*E13)</x:f>
        <x:v>478600000</x:v>
      </x:c>
      <x:c r="G13" s="88" t="n">
        <x:f>IF(COUNT(B13)&lt;1,"",IF(B13&lt;100000000,0,IF(B13&lt;=200000000,0.0005,IF(B13&lt;=1000000000,0.001,IF(B13&lt;=2000000000,0.0015,IF(B13&lt;=10000000000,0.002,IF(B13&lt;=50000000000,0.0025,0.003)))))))</x:f>
        <x:v>0.002</x:v>
      </x:c>
      <x:c r="H13" s="75" t="n">
        <x:f>IF(COUNT(F13,G13)&lt;2,"",F13*G13)</x:f>
        <x:v>957200</x:v>
      </x:c>
      <x:c r="I13" s="63" t="str">
        <x:f>IF(COUNT(B13)&lt;1,"INPUT KURANG",IF(B13&lt;100000000,"TARIF &lt; RP100 JT PERLU KONFIRMASI","SKENARIO - BUKAN KETETAPAN"))</x:f>
        <x:v>SKENARIO - BUKAN KETETAPAN</x:v>
      </x:c>
      <x:c r="J13" s="64"/>
      <x:c r="K13" s="64"/>
      <x:c r="L13" s="64"/>
      <x:c r="M13" s="64"/>
      <x:c r="N13" s="64"/>
      <x:c r="O13" s="64"/>
      <x:c r="P13" s="64"/>
      <x:c r="Q13" s="64"/>
    </x:row>
    <x:row r="14">
      <x:c r="A14" s="63" t="str">
        <x:v>Gubeng</x:v>
      </x:c>
      <x:c r="B14" s="75" t="n">
        <x:f>Objek_Representatif!J14</x:f>
        <x:v>1160000000</x:v>
      </x:c>
      <x:c r="C14" s="75" t="n">
        <x:f>Asumsi!$B$21</x:f>
        <x:v>15000000</x:v>
      </x:c>
      <x:c r="D14" s="75" t="n">
        <x:f>IF(COUNT(B14,C14)&lt;2,"",MAX(B14-C14,0))</x:f>
        <x:v>1145000000</x:v>
      </x:c>
      <x:c r="E14" s="76" t="n">
        <x:f>Asumsi!$B$22</x:f>
        <x:v>0.2</x:v>
      </x:c>
      <x:c r="F14" s="75" t="n">
        <x:f>IF(COUNT(D14,E14)&lt;2,"",D14*E14)</x:f>
        <x:v>229000000</x:v>
      </x:c>
      <x:c r="G14" s="88" t="n">
        <x:f>IF(COUNT(B14)&lt;1,"",IF(B14&lt;100000000,0,IF(B14&lt;=200000000,0.0005,IF(B14&lt;=1000000000,0.001,IF(B14&lt;=2000000000,0.0015,IF(B14&lt;=10000000000,0.002,IF(B14&lt;=50000000000,0.0025,0.003)))))))</x:f>
        <x:v>0.0015</x:v>
      </x:c>
      <x:c r="H14" s="75" t="n">
        <x:f>IF(COUNT(F14,G14)&lt;2,"",F14*G14)</x:f>
        <x:v>343500</x:v>
      </x:c>
      <x:c r="I14" s="63" t="str">
        <x:f>IF(COUNT(B14)&lt;1,"INPUT KURANG",IF(B14&lt;100000000,"TARIF &lt; RP100 JT PERLU KONFIRMASI","SKENARIO - BUKAN KETETAPAN"))</x:f>
        <x:v>SKENARIO - BUKAN KETETAPAN</x:v>
      </x:c>
      <x:c r="J14" s="64"/>
      <x:c r="K14" s="64"/>
      <x:c r="L14" s="64"/>
      <x:c r="M14" s="64"/>
      <x:c r="N14" s="64"/>
      <x:c r="O14" s="64"/>
      <x:c r="P14" s="64"/>
      <x:c r="Q14" s="64"/>
    </x:row>
    <x:row r="15">
      <x:c r="A15" s="63" t="str">
        <x:v>Gunung Anyar</x:v>
      </x:c>
      <x:c r="B15" s="75" t="n">
        <x:f>Objek_Representatif!J15</x:f>
        <x:v>836000000</x:v>
      </x:c>
      <x:c r="C15" s="75" t="n">
        <x:f>Asumsi!$B$21</x:f>
        <x:v>15000000</x:v>
      </x:c>
      <x:c r="D15" s="75" t="n">
        <x:f>IF(COUNT(B15,C15)&lt;2,"",MAX(B15-C15,0))</x:f>
        <x:v>821000000</x:v>
      </x:c>
      <x:c r="E15" s="76" t="n">
        <x:f>Asumsi!$B$22</x:f>
        <x:v>0.2</x:v>
      </x:c>
      <x:c r="F15" s="75" t="n">
        <x:f>IF(COUNT(D15,E15)&lt;2,"",D15*E15)</x:f>
        <x:v>164200000</x:v>
      </x:c>
      <x:c r="G15" s="88" t="n">
        <x:f>IF(COUNT(B15)&lt;1,"",IF(B15&lt;100000000,0,IF(B15&lt;=200000000,0.0005,IF(B15&lt;=1000000000,0.001,IF(B15&lt;=2000000000,0.0015,IF(B15&lt;=10000000000,0.002,IF(B15&lt;=50000000000,0.0025,0.003)))))))</x:f>
        <x:v>0.001</x:v>
      </x:c>
      <x:c r="H15" s="75" t="n">
        <x:f>IF(COUNT(F15,G15)&lt;2,"",F15*G15)</x:f>
        <x:v>164200</x:v>
      </x:c>
      <x:c r="I15" s="63" t="str">
        <x:f>IF(COUNT(B15)&lt;1,"INPUT KURANG",IF(B15&lt;100000000,"TARIF &lt; RP100 JT PERLU KONFIRMASI","SKENARIO - BUKAN KETETAPAN"))</x:f>
        <x:v>SKENARIO - BUKAN KETETAPAN</x:v>
      </x:c>
      <x:c r="J15" s="64"/>
      <x:c r="K15" s="64"/>
      <x:c r="L15" s="64"/>
      <x:c r="M15" s="64"/>
      <x:c r="N15" s="64"/>
      <x:c r="O15" s="64"/>
      <x:c r="P15" s="64"/>
      <x:c r="Q15" s="64"/>
    </x:row>
    <x:row r="16">
      <x:c r="A16" s="63" t="str">
        <x:v>Jambangan</x:v>
      </x:c>
      <x:c r="B16" s="75" t="n">
        <x:f>Objek_Representatif!J16</x:f>
        <x:v>1256000000</x:v>
      </x:c>
      <x:c r="C16" s="75" t="n">
        <x:f>Asumsi!$B$21</x:f>
        <x:v>15000000</x:v>
      </x:c>
      <x:c r="D16" s="75" t="n">
        <x:f>IF(COUNT(B16,C16)&lt;2,"",MAX(B16-C16,0))</x:f>
        <x:v>1241000000</x:v>
      </x:c>
      <x:c r="E16" s="76" t="n">
        <x:f>Asumsi!$B$22</x:f>
        <x:v>0.2</x:v>
      </x:c>
      <x:c r="F16" s="75" t="n">
        <x:f>IF(COUNT(D16,E16)&lt;2,"",D16*E16)</x:f>
        <x:v>248200000</x:v>
      </x:c>
      <x:c r="G16" s="88" t="n">
        <x:f>IF(COUNT(B16)&lt;1,"",IF(B16&lt;100000000,0,IF(B16&lt;=200000000,0.0005,IF(B16&lt;=1000000000,0.001,IF(B16&lt;=2000000000,0.0015,IF(B16&lt;=10000000000,0.002,IF(B16&lt;=50000000000,0.0025,0.003)))))))</x:f>
        <x:v>0.0015</x:v>
      </x:c>
      <x:c r="H16" s="75" t="n">
        <x:f>IF(COUNT(F16,G16)&lt;2,"",F16*G16)</x:f>
        <x:v>372300</x:v>
      </x:c>
      <x:c r="I16" s="63" t="str">
        <x:f>IF(COUNT(B16)&lt;1,"INPUT KURANG",IF(B16&lt;100000000,"TARIF &lt; RP100 JT PERLU KONFIRMASI","SKENARIO - BUKAN KETETAPAN"))</x:f>
        <x:v>SKENARIO - BUKAN KETETAPAN</x:v>
      </x:c>
      <x:c r="J16" s="64"/>
      <x:c r="K16" s="64"/>
      <x:c r="L16" s="64"/>
      <x:c r="M16" s="64"/>
      <x:c r="N16" s="64"/>
      <x:c r="O16" s="64"/>
      <x:c r="P16" s="64"/>
      <x:c r="Q16" s="64"/>
    </x:row>
    <x:row r="17">
      <x:c r="A17" s="63" t="str">
        <x:v>Karang Pilang</x:v>
      </x:c>
      <x:c r="B17" s="75" t="n">
        <x:f>Objek_Representatif!J17</x:f>
        <x:v>1124000000</x:v>
      </x:c>
      <x:c r="C17" s="75" t="n">
        <x:f>Asumsi!$B$21</x:f>
        <x:v>15000000</x:v>
      </x:c>
      <x:c r="D17" s="75" t="n">
        <x:f>IF(COUNT(B17,C17)&lt;2,"",MAX(B17-C17,0))</x:f>
        <x:v>1109000000</x:v>
      </x:c>
      <x:c r="E17" s="76" t="n">
        <x:f>Asumsi!$B$22</x:f>
        <x:v>0.2</x:v>
      </x:c>
      <x:c r="F17" s="75" t="n">
        <x:f>IF(COUNT(D17,E17)&lt;2,"",D17*E17)</x:f>
        <x:v>221800000</x:v>
      </x:c>
      <x:c r="G17" s="88" t="n">
        <x:f>IF(COUNT(B17)&lt;1,"",IF(B17&lt;100000000,0,IF(B17&lt;=200000000,0.0005,IF(B17&lt;=1000000000,0.001,IF(B17&lt;=2000000000,0.0015,IF(B17&lt;=10000000000,0.002,IF(B17&lt;=50000000000,0.0025,0.003)))))))</x:f>
        <x:v>0.0015</x:v>
      </x:c>
      <x:c r="H17" s="75" t="n">
        <x:f>IF(COUNT(F17,G17)&lt;2,"",F17*G17)</x:f>
        <x:v>332700</x:v>
      </x:c>
      <x:c r="I17" s="63" t="str">
        <x:f>IF(COUNT(B17)&lt;1,"INPUT KURANG",IF(B17&lt;100000000,"TARIF &lt; RP100 JT PERLU KONFIRMASI","SKENARIO - BUKAN KETETAPAN"))</x:f>
        <x:v>SKENARIO - BUKAN KETETAPAN</x:v>
      </x:c>
      <x:c r="J17" s="64"/>
      <x:c r="K17" s="64"/>
      <x:c r="L17" s="64"/>
      <x:c r="M17" s="64"/>
      <x:c r="N17" s="64"/>
      <x:c r="O17" s="64"/>
      <x:c r="P17" s="64"/>
      <x:c r="Q17" s="64"/>
    </x:row>
    <x:row r="18">
      <x:c r="A18" s="63" t="str">
        <x:v>Kenjeran</x:v>
      </x:c>
      <x:c r="B18" s="75" t="n">
        <x:f>Objek_Representatif!J18</x:f>
        <x:v>1364000000</x:v>
      </x:c>
      <x:c r="C18" s="75" t="n">
        <x:f>Asumsi!$B$21</x:f>
        <x:v>15000000</x:v>
      </x:c>
      <x:c r="D18" s="75" t="n">
        <x:f>IF(COUNT(B18,C18)&lt;2,"",MAX(B18-C18,0))</x:f>
        <x:v>1349000000</x:v>
      </x:c>
      <x:c r="E18" s="76" t="n">
        <x:f>Asumsi!$B$22</x:f>
        <x:v>0.2</x:v>
      </x:c>
      <x:c r="F18" s="75" t="n">
        <x:f>IF(COUNT(D18,E18)&lt;2,"",D18*E18)</x:f>
        <x:v>269800000</x:v>
      </x:c>
      <x:c r="G18" s="88" t="n">
        <x:f>IF(COUNT(B18)&lt;1,"",IF(B18&lt;100000000,0,IF(B18&lt;=200000000,0.0005,IF(B18&lt;=1000000000,0.001,IF(B18&lt;=2000000000,0.0015,IF(B18&lt;=10000000000,0.002,IF(B18&lt;=50000000000,0.0025,0.003)))))))</x:f>
        <x:v>0.0015</x:v>
      </x:c>
      <x:c r="H18" s="75" t="n">
        <x:f>IF(COUNT(F18,G18)&lt;2,"",F18*G18)</x:f>
        <x:v>404700</x:v>
      </x:c>
      <x:c r="I18" s="63" t="str">
        <x:f>IF(COUNT(B18)&lt;1,"INPUT KURANG",IF(B18&lt;100000000,"TARIF &lt; RP100 JT PERLU KONFIRMASI","SKENARIO - BUKAN KETETAPAN"))</x:f>
        <x:v>SKENARIO - BUKAN KETETAPAN</x:v>
      </x:c>
      <x:c r="J18" s="64"/>
      <x:c r="K18" s="64"/>
      <x:c r="L18" s="64"/>
      <x:c r="M18" s="64"/>
      <x:c r="N18" s="64"/>
      <x:c r="O18" s="64"/>
      <x:c r="P18" s="64"/>
      <x:c r="Q18" s="64"/>
    </x:row>
    <x:row r="19">
      <x:c r="A19" s="63" t="str">
        <x:v>Krembangan</x:v>
      </x:c>
      <x:c r="B19" s="75" t="n">
        <x:f>Objek_Representatif!J19</x:f>
        <x:v>1160000000</x:v>
      </x:c>
      <x:c r="C19" s="75" t="n">
        <x:f>Asumsi!$B$21</x:f>
        <x:v>15000000</x:v>
      </x:c>
      <x:c r="D19" s="75" t="n">
        <x:f>IF(COUNT(B19,C19)&lt;2,"",MAX(B19-C19,0))</x:f>
        <x:v>1145000000</x:v>
      </x:c>
      <x:c r="E19" s="76" t="n">
        <x:f>Asumsi!$B$22</x:f>
        <x:v>0.2</x:v>
      </x:c>
      <x:c r="F19" s="75" t="n">
        <x:f>IF(COUNT(D19,E19)&lt;2,"",D19*E19)</x:f>
        <x:v>229000000</x:v>
      </x:c>
      <x:c r="G19" s="88" t="n">
        <x:f>IF(COUNT(B19)&lt;1,"",IF(B19&lt;100000000,0,IF(B19&lt;=200000000,0.0005,IF(B19&lt;=1000000000,0.001,IF(B19&lt;=2000000000,0.0015,IF(B19&lt;=10000000000,0.002,IF(B19&lt;=50000000000,0.0025,0.003)))))))</x:f>
        <x:v>0.0015</x:v>
      </x:c>
      <x:c r="H19" s="75" t="n">
        <x:f>IF(COUNT(F19,G19)&lt;2,"",F19*G19)</x:f>
        <x:v>343500</x:v>
      </x:c>
      <x:c r="I19" s="63" t="str">
        <x:f>IF(COUNT(B19)&lt;1,"INPUT KURANG",IF(B19&lt;100000000,"TARIF &lt; RP100 JT PERLU KONFIRMASI","SKENARIO - BUKAN KETETAPAN"))</x:f>
        <x:v>SKENARIO - BUKAN KETETAPAN</x:v>
      </x:c>
      <x:c r="J19" s="64"/>
      <x:c r="K19" s="64"/>
      <x:c r="L19" s="64"/>
      <x:c r="M19" s="64"/>
      <x:c r="N19" s="64"/>
      <x:c r="O19" s="64"/>
      <x:c r="P19" s="64"/>
      <x:c r="Q19" s="64"/>
    </x:row>
    <x:row r="20">
      <x:c r="A20" s="63" t="str">
        <x:v>Lakarsantri</x:v>
      </x:c>
      <x:c r="B20" s="75" t="n">
        <x:f>Objek_Representatif!J20</x:f>
        <x:v>1880000000</x:v>
      </x:c>
      <x:c r="C20" s="75" t="n">
        <x:f>Asumsi!$B$21</x:f>
        <x:v>15000000</x:v>
      </x:c>
      <x:c r="D20" s="75" t="n">
        <x:f>IF(COUNT(B20,C20)&lt;2,"",MAX(B20-C20,0))</x:f>
        <x:v>1865000000</x:v>
      </x:c>
      <x:c r="E20" s="76" t="n">
        <x:f>Asumsi!$B$22</x:f>
        <x:v>0.2</x:v>
      </x:c>
      <x:c r="F20" s="75" t="n">
        <x:f>IF(COUNT(D20,E20)&lt;2,"",D20*E20)</x:f>
        <x:v>373000000</x:v>
      </x:c>
      <x:c r="G20" s="88" t="n">
        <x:f>IF(COUNT(B20)&lt;1,"",IF(B20&lt;100000000,0,IF(B20&lt;=200000000,0.0005,IF(B20&lt;=1000000000,0.001,IF(B20&lt;=2000000000,0.0015,IF(B20&lt;=10000000000,0.002,IF(B20&lt;=50000000000,0.0025,0.003)))))))</x:f>
        <x:v>0.0015</x:v>
      </x:c>
      <x:c r="H20" s="75" t="n">
        <x:f>IF(COUNT(F20,G20)&lt;2,"",F20*G20)</x:f>
        <x:v>559500</x:v>
      </x:c>
      <x:c r="I20" s="63" t="str">
        <x:f>IF(COUNT(B20)&lt;1,"INPUT KURANG",IF(B20&lt;100000000,"TARIF &lt; RP100 JT PERLU KONFIRMASI","SKENARIO - BUKAN KETETAPAN"))</x:f>
        <x:v>SKENARIO - BUKAN KETETAPAN</x:v>
      </x:c>
      <x:c r="J20" s="64"/>
      <x:c r="K20" s="64"/>
      <x:c r="L20" s="64"/>
      <x:c r="M20" s="64"/>
      <x:c r="N20" s="64"/>
      <x:c r="O20" s="64"/>
      <x:c r="P20" s="64"/>
      <x:c r="Q20" s="64"/>
    </x:row>
    <x:row r="21">
      <x:c r="A21" s="63" t="str">
        <x:v>Mulyorejo</x:v>
      </x:c>
      <x:c r="B21" s="75" t="n">
        <x:f>Objek_Representatif!J21</x:f>
        <x:v>2672000000</x:v>
      </x:c>
      <x:c r="C21" s="75" t="n">
        <x:f>Asumsi!$B$21</x:f>
        <x:v>15000000</x:v>
      </x:c>
      <x:c r="D21" s="75" t="n">
        <x:f>IF(COUNT(B21,C21)&lt;2,"",MAX(B21-C21,0))</x:f>
        <x:v>2657000000</x:v>
      </x:c>
      <x:c r="E21" s="76" t="n">
        <x:f>Asumsi!$B$22</x:f>
        <x:v>0.2</x:v>
      </x:c>
      <x:c r="F21" s="75" t="n">
        <x:f>IF(COUNT(D21,E21)&lt;2,"",D21*E21)</x:f>
        <x:v>531400000</x:v>
      </x:c>
      <x:c r="G21" s="88" t="n">
        <x:f>IF(COUNT(B21)&lt;1,"",IF(B21&lt;100000000,0,IF(B21&lt;=200000000,0.0005,IF(B21&lt;=1000000000,0.001,IF(B21&lt;=2000000000,0.0015,IF(B21&lt;=10000000000,0.002,IF(B21&lt;=50000000000,0.0025,0.003)))))))</x:f>
        <x:v>0.002</x:v>
      </x:c>
      <x:c r="H21" s="75" t="n">
        <x:f>IF(COUNT(F21,G21)&lt;2,"",F21*G21)</x:f>
        <x:v>1062800</x:v>
      </x:c>
      <x:c r="I21" s="63" t="str">
        <x:f>IF(COUNT(B21)&lt;1,"INPUT KURANG",IF(B21&lt;100000000,"TARIF &lt; RP100 JT PERLU KONFIRMASI","SKENARIO - BUKAN KETETAPAN"))</x:f>
        <x:v>SKENARIO - BUKAN KETETAPAN</x:v>
      </x:c>
      <x:c r="J21" s="64"/>
      <x:c r="K21" s="64"/>
      <x:c r="L21" s="64"/>
      <x:c r="M21" s="64"/>
      <x:c r="N21" s="64"/>
      <x:c r="O21" s="64"/>
      <x:c r="P21" s="64"/>
      <x:c r="Q21" s="64"/>
    </x:row>
    <x:row r="22">
      <x:c r="A22" s="63" t="str">
        <x:v>Pabean Cantian</x:v>
      </x:c>
      <x:c r="B22" s="75" t="n">
        <x:f>Objek_Representatif!J22</x:f>
        <x:v>920000000</x:v>
      </x:c>
      <x:c r="C22" s="75" t="n">
        <x:f>Asumsi!$B$21</x:f>
        <x:v>15000000</x:v>
      </x:c>
      <x:c r="D22" s="75" t="n">
        <x:f>IF(COUNT(B22,C22)&lt;2,"",MAX(B22-C22,0))</x:f>
        <x:v>905000000</x:v>
      </x:c>
      <x:c r="E22" s="76" t="n">
        <x:f>Asumsi!$B$22</x:f>
        <x:v>0.2</x:v>
      </x:c>
      <x:c r="F22" s="75" t="n">
        <x:f>IF(COUNT(D22,E22)&lt;2,"",D22*E22)</x:f>
        <x:v>181000000</x:v>
      </x:c>
      <x:c r="G22" s="88" t="n">
        <x:f>IF(COUNT(B22)&lt;1,"",IF(B22&lt;100000000,0,IF(B22&lt;=200000000,0.0005,IF(B22&lt;=1000000000,0.001,IF(B22&lt;=2000000000,0.0015,IF(B22&lt;=10000000000,0.002,IF(B22&lt;=50000000000,0.0025,0.003)))))))</x:f>
        <x:v>0.001</x:v>
      </x:c>
      <x:c r="H22" s="75" t="n">
        <x:f>IF(COUNT(F22,G22)&lt;2,"",F22*G22)</x:f>
        <x:v>181000</x:v>
      </x:c>
      <x:c r="I22" s="63" t="str">
        <x:f>IF(COUNT(B22)&lt;1,"INPUT KURANG",IF(B22&lt;100000000,"TARIF &lt; RP100 JT PERLU KONFIRMASI","SKENARIO - BUKAN KETETAPAN"))</x:f>
        <x:v>SKENARIO - BUKAN KETETAPAN</x:v>
      </x:c>
      <x:c r="J22" s="64"/>
      <x:c r="K22" s="64"/>
      <x:c r="L22" s="64"/>
      <x:c r="M22" s="64"/>
      <x:c r="N22" s="64"/>
      <x:c r="O22" s="64"/>
      <x:c r="P22" s="64"/>
      <x:c r="Q22" s="64"/>
    </x:row>
    <x:row r="23">
      <x:c r="A23" s="63" t="str">
        <x:v>Pakal</x:v>
      </x:c>
      <x:c r="B23" s="75" t="n">
        <x:f>Objek_Representatif!J23</x:f>
        <x:v>1232000000</x:v>
      </x:c>
      <x:c r="C23" s="75" t="n">
        <x:f>Asumsi!$B$21</x:f>
        <x:v>15000000</x:v>
      </x:c>
      <x:c r="D23" s="75" t="n">
        <x:f>IF(COUNT(B23,C23)&lt;2,"",MAX(B23-C23,0))</x:f>
        <x:v>1217000000</x:v>
      </x:c>
      <x:c r="E23" s="76" t="n">
        <x:f>Asumsi!$B$22</x:f>
        <x:v>0.2</x:v>
      </x:c>
      <x:c r="F23" s="75" t="n">
        <x:f>IF(COUNT(D23,E23)&lt;2,"",D23*E23)</x:f>
        <x:v>243400000</x:v>
      </x:c>
      <x:c r="G23" s="88" t="n">
        <x:f>IF(COUNT(B23)&lt;1,"",IF(B23&lt;100000000,0,IF(B23&lt;=200000000,0.0005,IF(B23&lt;=1000000000,0.001,IF(B23&lt;=2000000000,0.0015,IF(B23&lt;=10000000000,0.002,IF(B23&lt;=50000000000,0.0025,0.003)))))))</x:f>
        <x:v>0.0015</x:v>
      </x:c>
      <x:c r="H23" s="75" t="n">
        <x:f>IF(COUNT(F23,G23)&lt;2,"",F23*G23)</x:f>
        <x:v>365100</x:v>
      </x:c>
      <x:c r="I23" s="63" t="str">
        <x:f>IF(COUNT(B23)&lt;1,"INPUT KURANG",IF(B23&lt;100000000,"TARIF &lt; RP100 JT PERLU KONFIRMASI","SKENARIO - BUKAN KETETAPAN"))</x:f>
        <x:v>SKENARIO - BUKAN KETETAPAN</x:v>
      </x:c>
      <x:c r="J23" s="64"/>
      <x:c r="K23" s="64"/>
      <x:c r="L23" s="64"/>
      <x:c r="M23" s="64"/>
      <x:c r="N23" s="64"/>
      <x:c r="O23" s="64"/>
      <x:c r="P23" s="64"/>
      <x:c r="Q23" s="64"/>
    </x:row>
    <x:row r="24">
      <x:c r="A24" s="63" t="str">
        <x:v>Rungkut</x:v>
      </x:c>
      <x:c r="B24" s="75" t="n">
        <x:f>Objek_Representatif!J24</x:f>
        <x:v>2144000000</x:v>
      </x:c>
      <x:c r="C24" s="75" t="n">
        <x:f>Asumsi!$B$21</x:f>
        <x:v>15000000</x:v>
      </x:c>
      <x:c r="D24" s="75" t="n">
        <x:f>IF(COUNT(B24,C24)&lt;2,"",MAX(B24-C24,0))</x:f>
        <x:v>2129000000</x:v>
      </x:c>
      <x:c r="E24" s="76" t="n">
        <x:f>Asumsi!$B$22</x:f>
        <x:v>0.2</x:v>
      </x:c>
      <x:c r="F24" s="75" t="n">
        <x:f>IF(COUNT(D24,E24)&lt;2,"",D24*E24)</x:f>
        <x:v>425800000</x:v>
      </x:c>
      <x:c r="G24" s="88" t="n">
        <x:f>IF(COUNT(B24)&lt;1,"",IF(B24&lt;100000000,0,IF(B24&lt;=200000000,0.0005,IF(B24&lt;=1000000000,0.001,IF(B24&lt;=2000000000,0.0015,IF(B24&lt;=10000000000,0.002,IF(B24&lt;=50000000000,0.0025,0.003)))))))</x:f>
        <x:v>0.002</x:v>
      </x:c>
      <x:c r="H24" s="75" t="n">
        <x:f>IF(COUNT(F24,G24)&lt;2,"",F24*G24)</x:f>
        <x:v>851600</x:v>
      </x:c>
      <x:c r="I24" s="63" t="str">
        <x:f>IF(COUNT(B24)&lt;1,"INPUT KURANG",IF(B24&lt;100000000,"TARIF &lt; RP100 JT PERLU KONFIRMASI","SKENARIO - BUKAN KETETAPAN"))</x:f>
        <x:v>SKENARIO - BUKAN KETETAPAN</x:v>
      </x:c>
      <x:c r="J24" s="64"/>
      <x:c r="K24" s="64"/>
      <x:c r="L24" s="64"/>
      <x:c r="M24" s="64"/>
      <x:c r="N24" s="64"/>
      <x:c r="O24" s="64"/>
      <x:c r="P24" s="64"/>
      <x:c r="Q24" s="64"/>
    </x:row>
    <x:row r="25">
      <x:c r="A25" s="63" t="str">
        <x:v>Sambikerep</x:v>
      </x:c>
      <x:c r="B25" s="75" t="n">
        <x:f>Objek_Representatif!J25</x:f>
        <x:v>1880000000</x:v>
      </x:c>
      <x:c r="C25" s="75" t="n">
        <x:f>Asumsi!$B$21</x:f>
        <x:v>15000000</x:v>
      </x:c>
      <x:c r="D25" s="75" t="n">
        <x:f>IF(COUNT(B25,C25)&lt;2,"",MAX(B25-C25,0))</x:f>
        <x:v>1865000000</x:v>
      </x:c>
      <x:c r="E25" s="76" t="n">
        <x:f>Asumsi!$B$22</x:f>
        <x:v>0.2</x:v>
      </x:c>
      <x:c r="F25" s="75" t="n">
        <x:f>IF(COUNT(D25,E25)&lt;2,"",D25*E25)</x:f>
        <x:v>373000000</x:v>
      </x:c>
      <x:c r="G25" s="88" t="n">
        <x:f>IF(COUNT(B25)&lt;1,"",IF(B25&lt;100000000,0,IF(B25&lt;=200000000,0.0005,IF(B25&lt;=1000000000,0.001,IF(B25&lt;=2000000000,0.0015,IF(B25&lt;=10000000000,0.002,IF(B25&lt;=50000000000,0.0025,0.003)))))))</x:f>
        <x:v>0.0015</x:v>
      </x:c>
      <x:c r="H25" s="75" t="n">
        <x:f>IF(COUNT(F25,G25)&lt;2,"",F25*G25)</x:f>
        <x:v>559500</x:v>
      </x:c>
      <x:c r="I25" s="63" t="str">
        <x:f>IF(COUNT(B25)&lt;1,"INPUT KURANG",IF(B25&lt;100000000,"TARIF &lt; RP100 JT PERLU KONFIRMASI","SKENARIO - BUKAN KETETAPAN"))</x:f>
        <x:v>SKENARIO - BUKAN KETETAPAN</x:v>
      </x:c>
      <x:c r="J25" s="64"/>
      <x:c r="K25" s="64"/>
      <x:c r="L25" s="64"/>
      <x:c r="M25" s="64"/>
      <x:c r="N25" s="64"/>
      <x:c r="O25" s="64"/>
      <x:c r="P25" s="64"/>
      <x:c r="Q25" s="64"/>
    </x:row>
    <x:row r="26">
      <x:c r="A26" s="63" t="str">
        <x:v>Sawahan</x:v>
      </x:c>
      <x:c r="B26" s="75" t="n">
        <x:f>Objek_Representatif!J26</x:f>
        <x:v>2288000000</x:v>
      </x:c>
      <x:c r="C26" s="75" t="n">
        <x:f>Asumsi!$B$21</x:f>
        <x:v>15000000</x:v>
      </x:c>
      <x:c r="D26" s="75" t="n">
        <x:f>IF(COUNT(B26,C26)&lt;2,"",MAX(B26-C26,0))</x:f>
        <x:v>2273000000</x:v>
      </x:c>
      <x:c r="E26" s="76" t="n">
        <x:f>Asumsi!$B$22</x:f>
        <x:v>0.2</x:v>
      </x:c>
      <x:c r="F26" s="75" t="n">
        <x:f>IF(COUNT(D26,E26)&lt;2,"",D26*E26)</x:f>
        <x:v>454600000</x:v>
      </x:c>
      <x:c r="G26" s="88" t="n">
        <x:f>IF(COUNT(B26)&lt;1,"",IF(B26&lt;100000000,0,IF(B26&lt;=200000000,0.0005,IF(B26&lt;=1000000000,0.001,IF(B26&lt;=2000000000,0.0015,IF(B26&lt;=10000000000,0.002,IF(B26&lt;=50000000000,0.0025,0.003)))))))</x:f>
        <x:v>0.002</x:v>
      </x:c>
      <x:c r="H26" s="75" t="n">
        <x:f>IF(COUNT(F26,G26)&lt;2,"",F26*G26)</x:f>
        <x:v>909200</x:v>
      </x:c>
      <x:c r="I26" s="63" t="str">
        <x:f>IF(COUNT(B26)&lt;1,"INPUT KURANG",IF(B26&lt;100000000,"TARIF &lt; RP100 JT PERLU KONFIRMASI","SKENARIO - BUKAN KETETAPAN"))</x:f>
        <x:v>SKENARIO - BUKAN KETETAPAN</x:v>
      </x:c>
      <x:c r="J26" s="64"/>
      <x:c r="K26" s="64"/>
      <x:c r="L26" s="64"/>
      <x:c r="M26" s="64"/>
      <x:c r="N26" s="64"/>
      <x:c r="O26" s="64"/>
      <x:c r="P26" s="64"/>
      <x:c r="Q26" s="64"/>
    </x:row>
    <x:row r="27">
      <x:c r="A27" s="63" t="str">
        <x:v>Semampir</x:v>
      </x:c>
      <x:c r="B27" s="75" t="n">
        <x:f>Objek_Representatif!J27</x:f>
        <x:v>1016000000</x:v>
      </x:c>
      <x:c r="C27" s="75" t="n">
        <x:f>Asumsi!$B$21</x:f>
        <x:v>15000000</x:v>
      </x:c>
      <x:c r="D27" s="75" t="n">
        <x:f>IF(COUNT(B27,C27)&lt;2,"",MAX(B27-C27,0))</x:f>
        <x:v>1001000000</x:v>
      </x:c>
      <x:c r="E27" s="76" t="n">
        <x:f>Asumsi!$B$22</x:f>
        <x:v>0.2</x:v>
      </x:c>
      <x:c r="F27" s="75" t="n">
        <x:f>IF(COUNT(D27,E27)&lt;2,"",D27*E27)</x:f>
        <x:v>200200000</x:v>
      </x:c>
      <x:c r="G27" s="88" t="n">
        <x:f>IF(COUNT(B27)&lt;1,"",IF(B27&lt;100000000,0,IF(B27&lt;=200000000,0.0005,IF(B27&lt;=1000000000,0.001,IF(B27&lt;=2000000000,0.0015,IF(B27&lt;=10000000000,0.002,IF(B27&lt;=50000000000,0.0025,0.003)))))))</x:f>
        <x:v>0.0015</x:v>
      </x:c>
      <x:c r="H27" s="75" t="n">
        <x:f>IF(COUNT(F27,G27)&lt;2,"",F27*G27)</x:f>
        <x:v>300300</x:v>
      </x:c>
      <x:c r="I27" s="63" t="str">
        <x:f>IF(COUNT(B27)&lt;1,"INPUT KURANG",IF(B27&lt;100000000,"TARIF &lt; RP100 JT PERLU KONFIRMASI","SKENARIO - BUKAN KETETAPAN"))</x:f>
        <x:v>SKENARIO - BUKAN KETETAPAN</x:v>
      </x:c>
      <x:c r="J27" s="64"/>
      <x:c r="K27" s="64"/>
      <x:c r="L27" s="64"/>
      <x:c r="M27" s="64"/>
      <x:c r="N27" s="64"/>
      <x:c r="O27" s="64"/>
      <x:c r="P27" s="64"/>
      <x:c r="Q27" s="64"/>
    </x:row>
    <x:row r="28">
      <x:c r="A28" s="63" t="str">
        <x:v>Simokerto</x:v>
      </x:c>
      <x:c r="B28" s="75" t="n">
        <x:f>Objek_Representatif!J28</x:f>
        <x:v>1052000000</x:v>
      </x:c>
      <x:c r="C28" s="75" t="n">
        <x:f>Asumsi!$B$21</x:f>
        <x:v>15000000</x:v>
      </x:c>
      <x:c r="D28" s="75" t="n">
        <x:f>IF(COUNT(B28,C28)&lt;2,"",MAX(B28-C28,0))</x:f>
        <x:v>1037000000</x:v>
      </x:c>
      <x:c r="E28" s="76" t="n">
        <x:f>Asumsi!$B$22</x:f>
        <x:v>0.2</x:v>
      </x:c>
      <x:c r="F28" s="75" t="n">
        <x:f>IF(COUNT(D28,E28)&lt;2,"",D28*E28)</x:f>
        <x:v>207400000</x:v>
      </x:c>
      <x:c r="G28" s="88" t="n">
        <x:f>IF(COUNT(B28)&lt;1,"",IF(B28&lt;100000000,0,IF(B28&lt;=200000000,0.0005,IF(B28&lt;=1000000000,0.001,IF(B28&lt;=2000000000,0.0015,IF(B28&lt;=10000000000,0.002,IF(B28&lt;=50000000000,0.0025,0.003)))))))</x:f>
        <x:v>0.0015</x:v>
      </x:c>
      <x:c r="H28" s="75" t="n">
        <x:f>IF(COUNT(F28,G28)&lt;2,"",F28*G28)</x:f>
        <x:v>311100</x:v>
      </x:c>
      <x:c r="I28" s="63" t="str">
        <x:f>IF(COUNT(B28)&lt;1,"INPUT KURANG",IF(B28&lt;100000000,"TARIF &lt; RP100 JT PERLU KONFIRMASI","SKENARIO - BUKAN KETETAPAN"))</x:f>
        <x:v>SKENARIO - BUKAN KETETAPAN</x:v>
      </x:c>
      <x:c r="J28" s="64"/>
      <x:c r="K28" s="64"/>
      <x:c r="L28" s="64"/>
      <x:c r="M28" s="64"/>
      <x:c r="N28" s="64"/>
      <x:c r="O28" s="64"/>
      <x:c r="P28" s="64"/>
      <x:c r="Q28" s="64"/>
    </x:row>
    <x:row r="29">
      <x:c r="A29" s="63" t="str">
        <x:v>Sukolilo</x:v>
      </x:c>
      <x:c r="B29" s="75" t="n">
        <x:f>Objek_Representatif!J29</x:f>
        <x:v>1412000000</x:v>
      </x:c>
      <x:c r="C29" s="75" t="n">
        <x:f>Asumsi!$B$21</x:f>
        <x:v>15000000</x:v>
      </x:c>
      <x:c r="D29" s="75" t="n">
        <x:f>IF(COUNT(B29,C29)&lt;2,"",MAX(B29-C29,0))</x:f>
        <x:v>1397000000</x:v>
      </x:c>
      <x:c r="E29" s="76" t="n">
        <x:f>Asumsi!$B$22</x:f>
        <x:v>0.2</x:v>
      </x:c>
      <x:c r="F29" s="75" t="n">
        <x:f>IF(COUNT(D29,E29)&lt;2,"",D29*E29)</x:f>
        <x:v>279400000</x:v>
      </x:c>
      <x:c r="G29" s="88" t="n">
        <x:f>IF(COUNT(B29)&lt;1,"",IF(B29&lt;100000000,0,IF(B29&lt;=200000000,0.0005,IF(B29&lt;=1000000000,0.001,IF(B29&lt;=2000000000,0.0015,IF(B29&lt;=10000000000,0.002,IF(B29&lt;=50000000000,0.0025,0.003)))))))</x:f>
        <x:v>0.0015</x:v>
      </x:c>
      <x:c r="H29" s="75" t="n">
        <x:f>IF(COUNT(F29,G29)&lt;2,"",F29*G29)</x:f>
        <x:v>419100</x:v>
      </x:c>
      <x:c r="I29" s="63" t="str">
        <x:f>IF(COUNT(B29)&lt;1,"INPUT KURANG",IF(B29&lt;100000000,"TARIF &lt; RP100 JT PERLU KONFIRMASI","SKENARIO - BUKAN KETETAPAN"))</x:f>
        <x:v>SKENARIO - BUKAN KETETAPAN</x:v>
      </x:c>
      <x:c r="J29" s="64"/>
      <x:c r="K29" s="64"/>
      <x:c r="L29" s="64"/>
      <x:c r="M29" s="64"/>
      <x:c r="N29" s="64"/>
      <x:c r="O29" s="64"/>
      <x:c r="P29" s="64"/>
      <x:c r="Q29" s="64"/>
    </x:row>
    <x:row r="30">
      <x:c r="A30" s="63" t="str">
        <x:v>Sukomanunggal</x:v>
      </x:c>
      <x:c r="B30" s="75" t="n">
        <x:f>Objek_Representatif!J30</x:f>
        <x:v>2408000000</x:v>
      </x:c>
      <x:c r="C30" s="75" t="n">
        <x:f>Asumsi!$B$21</x:f>
        <x:v>15000000</x:v>
      </x:c>
      <x:c r="D30" s="75" t="n">
        <x:f>IF(COUNT(B30,C30)&lt;2,"",MAX(B30-C30,0))</x:f>
        <x:v>2393000000</x:v>
      </x:c>
      <x:c r="E30" s="76" t="n">
        <x:f>Asumsi!$B$22</x:f>
        <x:v>0.2</x:v>
      </x:c>
      <x:c r="F30" s="75" t="n">
        <x:f>IF(COUNT(D30,E30)&lt;2,"",D30*E30)</x:f>
        <x:v>478600000</x:v>
      </x:c>
      <x:c r="G30" s="88" t="n">
        <x:f>IF(COUNT(B30)&lt;1,"",IF(B30&lt;100000000,0,IF(B30&lt;=200000000,0.0005,IF(B30&lt;=1000000000,0.001,IF(B30&lt;=2000000000,0.0015,IF(B30&lt;=10000000000,0.002,IF(B30&lt;=50000000000,0.0025,0.003)))))))</x:f>
        <x:v>0.002</x:v>
      </x:c>
      <x:c r="H30" s="75" t="n">
        <x:f>IF(COUNT(F30,G30)&lt;2,"",F30*G30)</x:f>
        <x:v>957200</x:v>
      </x:c>
      <x:c r="I30" s="63" t="str">
        <x:f>IF(COUNT(B30)&lt;1,"INPUT KURANG",IF(B30&lt;100000000,"TARIF &lt; RP100 JT PERLU KONFIRMASI","SKENARIO - BUKAN KETETAPAN"))</x:f>
        <x:v>SKENARIO - BUKAN KETETAPAN</x:v>
      </x:c>
      <x:c r="J30" s="64"/>
      <x:c r="K30" s="64"/>
      <x:c r="L30" s="64"/>
      <x:c r="M30" s="64"/>
      <x:c r="N30" s="64"/>
      <x:c r="O30" s="64"/>
      <x:c r="P30" s="64"/>
      <x:c r="Q30" s="64"/>
    </x:row>
    <x:row r="31">
      <x:c r="A31" s="63" t="str">
        <x:v>Tambaksari</x:v>
      </x:c>
      <x:c r="B31" s="75" t="n">
        <x:f>Objek_Representatif!J31</x:f>
        <x:v>2852000000</x:v>
      </x:c>
      <x:c r="C31" s="75" t="n">
        <x:f>Asumsi!$B$21</x:f>
        <x:v>15000000</x:v>
      </x:c>
      <x:c r="D31" s="75" t="n">
        <x:f>IF(COUNT(B31,C31)&lt;2,"",MAX(B31-C31,0))</x:f>
        <x:v>2837000000</x:v>
      </x:c>
      <x:c r="E31" s="76" t="n">
        <x:f>Asumsi!$B$22</x:f>
        <x:v>0.2</x:v>
      </x:c>
      <x:c r="F31" s="75" t="n">
        <x:f>IF(COUNT(D31,E31)&lt;2,"",D31*E31)</x:f>
        <x:v>567400000</x:v>
      </x:c>
      <x:c r="G31" s="88" t="n">
        <x:f>IF(COUNT(B31)&lt;1,"",IF(B31&lt;100000000,0,IF(B31&lt;=200000000,0.0005,IF(B31&lt;=1000000000,0.001,IF(B31&lt;=2000000000,0.0015,IF(B31&lt;=10000000000,0.002,IF(B31&lt;=50000000000,0.0025,0.003)))))))</x:f>
        <x:v>0.002</x:v>
      </x:c>
      <x:c r="H31" s="75" t="n">
        <x:f>IF(COUNT(F31,G31)&lt;2,"",F31*G31)</x:f>
        <x:v>1134800</x:v>
      </x:c>
      <x:c r="I31" s="63" t="str">
        <x:f>IF(COUNT(B31)&lt;1,"INPUT KURANG",IF(B31&lt;100000000,"TARIF &lt; RP100 JT PERLU KONFIRMASI","SKENARIO - BUKAN KETETAPAN"))</x:f>
        <x:v>SKENARIO - BUKAN KETETAPAN</x:v>
      </x:c>
      <x:c r="J31" s="64"/>
      <x:c r="K31" s="64"/>
      <x:c r="L31" s="64"/>
      <x:c r="M31" s="64"/>
      <x:c r="N31" s="64"/>
      <x:c r="O31" s="64"/>
      <x:c r="P31" s="64"/>
      <x:c r="Q31" s="64"/>
    </x:row>
    <x:row r="32">
      <x:c r="A32" s="63" t="str">
        <x:v>Tandes</x:v>
      </x:c>
      <x:c r="B32" s="75" t="n">
        <x:f>Objek_Representatif!J32</x:f>
        <x:v>1160000000</x:v>
      </x:c>
      <x:c r="C32" s="75" t="n">
        <x:f>Asumsi!$B$21</x:f>
        <x:v>15000000</x:v>
      </x:c>
      <x:c r="D32" s="75" t="n">
        <x:f>IF(COUNT(B32,C32)&lt;2,"",MAX(B32-C32,0))</x:f>
        <x:v>1145000000</x:v>
      </x:c>
      <x:c r="E32" s="76" t="n">
        <x:f>Asumsi!$B$22</x:f>
        <x:v>0.2</x:v>
      </x:c>
      <x:c r="F32" s="75" t="n">
        <x:f>IF(COUNT(D32,E32)&lt;2,"",D32*E32)</x:f>
        <x:v>229000000</x:v>
      </x:c>
      <x:c r="G32" s="88" t="n">
        <x:f>IF(COUNT(B32)&lt;1,"",IF(B32&lt;100000000,0,IF(B32&lt;=200000000,0.0005,IF(B32&lt;=1000000000,0.001,IF(B32&lt;=2000000000,0.0015,IF(B32&lt;=10000000000,0.002,IF(B32&lt;=50000000000,0.0025,0.003)))))))</x:f>
        <x:v>0.0015</x:v>
      </x:c>
      <x:c r="H32" s="75" t="n">
        <x:f>IF(COUNT(F32,G32)&lt;2,"",F32*G32)</x:f>
        <x:v>343500</x:v>
      </x:c>
      <x:c r="I32" s="63" t="str">
        <x:f>IF(COUNT(B32)&lt;1,"INPUT KURANG",IF(B32&lt;100000000,"TARIF &lt; RP100 JT PERLU KONFIRMASI","SKENARIO - BUKAN KETETAPAN"))</x:f>
        <x:v>SKENARIO - BUKAN KETETAPAN</x:v>
      </x:c>
      <x:c r="J32" s="64"/>
      <x:c r="K32" s="64"/>
      <x:c r="L32" s="64"/>
      <x:c r="M32" s="64"/>
      <x:c r="N32" s="64"/>
      <x:c r="O32" s="64"/>
      <x:c r="P32" s="64"/>
      <x:c r="Q32" s="64"/>
    </x:row>
    <x:row r="33">
      <x:c r="A33" s="63" t="str">
        <x:v>Tegalsari</x:v>
      </x:c>
      <x:c r="B33" s="75" t="n">
        <x:f>Objek_Representatif!J33</x:f>
        <x:v>3092000000</x:v>
      </x:c>
      <x:c r="C33" s="75" t="n">
        <x:f>Asumsi!$B$21</x:f>
        <x:v>15000000</x:v>
      </x:c>
      <x:c r="D33" s="75" t="n">
        <x:f>IF(COUNT(B33,C33)&lt;2,"",MAX(B33-C33,0))</x:f>
        <x:v>3077000000</x:v>
      </x:c>
      <x:c r="E33" s="76" t="n">
        <x:f>Asumsi!$B$22</x:f>
        <x:v>0.2</x:v>
      </x:c>
      <x:c r="F33" s="75" t="n">
        <x:f>IF(COUNT(D33,E33)&lt;2,"",D33*E33)</x:f>
        <x:v>615400000</x:v>
      </x:c>
      <x:c r="G33" s="88" t="n">
        <x:f>IF(COUNT(B33)&lt;1,"",IF(B33&lt;100000000,0,IF(B33&lt;=200000000,0.0005,IF(B33&lt;=1000000000,0.001,IF(B33&lt;=2000000000,0.0015,IF(B33&lt;=10000000000,0.002,IF(B33&lt;=50000000000,0.0025,0.003)))))))</x:f>
        <x:v>0.002</x:v>
      </x:c>
      <x:c r="H33" s="75" t="n">
        <x:f>IF(COUNT(F33,G33)&lt;2,"",F33*G33)</x:f>
        <x:v>1230800</x:v>
      </x:c>
      <x:c r="I33" s="63" t="str">
        <x:f>IF(COUNT(B33)&lt;1,"INPUT KURANG",IF(B33&lt;100000000,"TARIF &lt; RP100 JT PERLU KONFIRMASI","SKENARIO - BUKAN KETETAPAN"))</x:f>
        <x:v>SKENARIO - BUKAN KETETAPAN</x:v>
      </x:c>
      <x:c r="J33" s="64"/>
      <x:c r="K33" s="64"/>
      <x:c r="L33" s="64"/>
      <x:c r="M33" s="64"/>
      <x:c r="N33" s="64"/>
      <x:c r="O33" s="64"/>
      <x:c r="P33" s="64"/>
      <x:c r="Q33" s="64"/>
    </x:row>
    <x:row r="34">
      <x:c r="A34" s="63" t="str">
        <x:v>Tenggilis Mejoyo</x:v>
      </x:c>
      <x:c r="B34" s="75" t="n">
        <x:f>Objek_Representatif!J34</x:f>
        <x:v>1316000000</x:v>
      </x:c>
      <x:c r="C34" s="75" t="n">
        <x:f>Asumsi!$B$21</x:f>
        <x:v>15000000</x:v>
      </x:c>
      <x:c r="D34" s="75" t="n">
        <x:f>IF(COUNT(B34,C34)&lt;2,"",MAX(B34-C34,0))</x:f>
        <x:v>1301000000</x:v>
      </x:c>
      <x:c r="E34" s="76" t="n">
        <x:f>Asumsi!$B$22</x:f>
        <x:v>0.2</x:v>
      </x:c>
      <x:c r="F34" s="75" t="n">
        <x:f>IF(COUNT(D34,E34)&lt;2,"",D34*E34)</x:f>
        <x:v>260200000</x:v>
      </x:c>
      <x:c r="G34" s="88" t="n">
        <x:f>IF(COUNT(B34)&lt;1,"",IF(B34&lt;100000000,0,IF(B34&lt;=200000000,0.0005,IF(B34&lt;=1000000000,0.001,IF(B34&lt;=2000000000,0.0015,IF(B34&lt;=10000000000,0.002,IF(B34&lt;=50000000000,0.0025,0.003)))))))</x:f>
        <x:v>0.0015</x:v>
      </x:c>
      <x:c r="H34" s="75" t="n">
        <x:f>IF(COUNT(F34,G34)&lt;2,"",F34*G34)</x:f>
        <x:v>390300</x:v>
      </x:c>
      <x:c r="I34" s="63" t="str">
        <x:f>IF(COUNT(B34)&lt;1,"INPUT KURANG",IF(B34&lt;100000000,"TARIF &lt; RP100 JT PERLU KONFIRMASI","SKENARIO - BUKAN KETETAPAN"))</x:f>
        <x:v>SKENARIO - BUKAN KETETAPAN</x:v>
      </x:c>
      <x:c r="J34" s="64"/>
      <x:c r="K34" s="64"/>
      <x:c r="L34" s="64"/>
      <x:c r="M34" s="64"/>
      <x:c r="N34" s="64"/>
      <x:c r="O34" s="64"/>
      <x:c r="P34" s="64"/>
      <x:c r="Q34" s="64"/>
    </x:row>
    <x:row r="35">
      <x:c r="A35" s="63" t="str">
        <x:v>Wiyung</x:v>
      </x:c>
      <x:c r="B35" s="75" t="n">
        <x:f>Objek_Representatif!J35</x:f>
        <x:v>2300000000</x:v>
      </x:c>
      <x:c r="C35" s="75" t="n">
        <x:f>Asumsi!$B$21</x:f>
        <x:v>15000000</x:v>
      </x:c>
      <x:c r="D35" s="75" t="n">
        <x:f>IF(COUNT(B35,C35)&lt;2,"",MAX(B35-C35,0))</x:f>
        <x:v>2285000000</x:v>
      </x:c>
      <x:c r="E35" s="76" t="n">
        <x:f>Asumsi!$B$22</x:f>
        <x:v>0.2</x:v>
      </x:c>
      <x:c r="F35" s="75" t="n">
        <x:f>IF(COUNT(D35,E35)&lt;2,"",D35*E35)</x:f>
        <x:v>457000000</x:v>
      </x:c>
      <x:c r="G35" s="88" t="n">
        <x:f>IF(COUNT(B35)&lt;1,"",IF(B35&lt;100000000,0,IF(B35&lt;=200000000,0.0005,IF(B35&lt;=1000000000,0.001,IF(B35&lt;=2000000000,0.0015,IF(B35&lt;=10000000000,0.002,IF(B35&lt;=50000000000,0.0025,0.003)))))))</x:f>
        <x:v>0.002</x:v>
      </x:c>
      <x:c r="H35" s="75" t="n">
        <x:f>IF(COUNT(F35,G35)&lt;2,"",F35*G35)</x:f>
        <x:v>914000</x:v>
      </x:c>
      <x:c r="I35" s="63" t="str">
        <x:f>IF(COUNT(B35)&lt;1,"INPUT KURANG",IF(B35&lt;100000000,"TARIF &lt; RP100 JT PERLU KONFIRMASI","SKENARIO - BUKAN KETETAPAN"))</x:f>
        <x:v>SKENARIO - BUKAN KETETAPAN</x:v>
      </x:c>
      <x:c r="J35" s="64"/>
      <x:c r="K35" s="64"/>
      <x:c r="L35" s="64"/>
      <x:c r="M35" s="64"/>
      <x:c r="N35" s="64"/>
      <x:c r="O35" s="64"/>
      <x:c r="P35" s="64"/>
      <x:c r="Q35" s="64"/>
    </x:row>
    <x:row r="36">
      <x:c r="A36" s="63" t="str">
        <x:v>Wonocolo</x:v>
      </x:c>
      <x:c r="B36" s="75" t="n">
        <x:f>Objek_Representatif!J36</x:f>
        <x:v>1568000000</x:v>
      </x:c>
      <x:c r="C36" s="75" t="n">
        <x:f>Asumsi!$B$21</x:f>
        <x:v>15000000</x:v>
      </x:c>
      <x:c r="D36" s="75" t="n">
        <x:f>IF(COUNT(B36,C36)&lt;2,"",MAX(B36-C36,0))</x:f>
        <x:v>1553000000</x:v>
      </x:c>
      <x:c r="E36" s="76" t="n">
        <x:f>Asumsi!$B$22</x:f>
        <x:v>0.2</x:v>
      </x:c>
      <x:c r="F36" s="75" t="n">
        <x:f>IF(COUNT(D36,E36)&lt;2,"",D36*E36)</x:f>
        <x:v>310600000</x:v>
      </x:c>
      <x:c r="G36" s="88" t="n">
        <x:f>IF(COUNT(B36)&lt;1,"",IF(B36&lt;100000000,0,IF(B36&lt;=200000000,0.0005,IF(B36&lt;=1000000000,0.001,IF(B36&lt;=2000000000,0.0015,IF(B36&lt;=10000000000,0.002,IF(B36&lt;=50000000000,0.0025,0.003)))))))</x:f>
        <x:v>0.0015</x:v>
      </x:c>
      <x:c r="H36" s="75" t="n">
        <x:f>IF(COUNT(F36,G36)&lt;2,"",F36*G36)</x:f>
        <x:v>465900</x:v>
      </x:c>
      <x:c r="I36" s="63" t="str">
        <x:f>IF(COUNT(B36)&lt;1,"INPUT KURANG",IF(B36&lt;100000000,"TARIF &lt; RP100 JT PERLU KONFIRMASI","SKENARIO - BUKAN KETETAPAN"))</x:f>
        <x:v>SKENARIO - BUKAN KETETAPAN</x:v>
      </x:c>
      <x:c r="J36" s="64"/>
      <x:c r="K36" s="64"/>
      <x:c r="L36" s="64"/>
      <x:c r="M36" s="64"/>
      <x:c r="N36" s="64"/>
      <x:c r="O36" s="64"/>
      <x:c r="P36" s="64"/>
      <x:c r="Q36" s="64"/>
    </x:row>
    <x:row r="37">
      <x:c r="A37" s="63" t="str">
        <x:v>Wonokromo</x:v>
      </x:c>
      <x:c r="B37" s="75" t="n">
        <x:f>Objek_Representatif!J37</x:f>
        <x:v>2372000000</x:v>
      </x:c>
      <x:c r="C37" s="75" t="n">
        <x:f>Asumsi!$B$21</x:f>
        <x:v>15000000</x:v>
      </x:c>
      <x:c r="D37" s="75" t="n">
        <x:f>IF(COUNT(B37,C37)&lt;2,"",MAX(B37-C37,0))</x:f>
        <x:v>2357000000</x:v>
      </x:c>
      <x:c r="E37" s="76" t="n">
        <x:f>Asumsi!$B$22</x:f>
        <x:v>0.2</x:v>
      </x:c>
      <x:c r="F37" s="75" t="n">
        <x:f>IF(COUNT(D37,E37)&lt;2,"",D37*E37)</x:f>
        <x:v>471400000</x:v>
      </x:c>
      <x:c r="G37" s="88" t="n">
        <x:f>IF(COUNT(B37)&lt;1,"",IF(B37&lt;100000000,0,IF(B37&lt;=200000000,0.0005,IF(B37&lt;=1000000000,0.001,IF(B37&lt;=2000000000,0.0015,IF(B37&lt;=10000000000,0.002,IF(B37&lt;=50000000000,0.0025,0.003)))))))</x:f>
        <x:v>0.002</x:v>
      </x:c>
      <x:c r="H37" s="75" t="n">
        <x:f>IF(COUNT(F37,G37)&lt;2,"",F37*G37)</x:f>
        <x:v>942800</x:v>
      </x:c>
      <x:c r="I37" s="63" t="str">
        <x:f>IF(COUNT(B37)&lt;1,"INPUT KURANG",IF(B37&lt;100000000,"TARIF &lt; RP100 JT PERLU KONFIRMASI","SKENARIO - BUKAN KETETAPAN"))</x:f>
        <x:v>SKENARIO - BUKAN KETETAPAN</x:v>
      </x:c>
      <x:c r="J37" s="64"/>
      <x:c r="K37" s="64"/>
      <x:c r="L37" s="64"/>
      <x:c r="M37" s="64"/>
      <x:c r="N37" s="64"/>
      <x:c r="O37" s="64"/>
      <x:c r="P37" s="64"/>
      <x:c r="Q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28" hidden="0" customWidth="1"/>
    <x:col min="4" max="4" width="23" hidden="0" customWidth="1"/>
    <x:col min="5" max="5" width="32" hidden="0" customWidth="1"/>
    <x:col min="6" max="6" width="68" hidden="0" customWidth="1"/>
    <x:col min="7" max="7" width="34" hidden="0" customWidth="1"/>
  </x:cols>
  <x:sheetData>
    <x:row r="1" ht="26" customHeight="1">
      <x:c r="A1" s="71" t="str">
        <x:v>Daftar Sumber dan Jejak Data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Tautan ditulis penuh agar dapat diverifikasi. Tanggal akses: 12 September 2026.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</x:row>
    <x:row r="5" ht="32" customHeight="1">
      <x:c r="A5" s="69" t="str">
        <x:v>ID</x:v>
      </x:c>
      <x:c r="B5" s="69" t="str">
        <x:v>Sumber</x:v>
      </x:c>
      <x:c r="C5" s="69" t="str">
        <x:v>Penerbit</x:v>
      </x:c>
      <x:c r="D5" s="69" t="str">
        <x:v>Jenis</x:v>
      </x:c>
      <x:c r="E5" s="69" t="str">
        <x:v>Status</x:v>
      </x:c>
      <x:c r="F5" s="69" t="str">
        <x:v>URL</x:v>
      </x:c>
      <x:c r="G5" s="69" t="str">
        <x:v>Digunakan pada</x:v>
      </x:c>
      <x:c r="H5" s="64"/>
      <x:c r="I5" s="64"/>
      <x:c r="J5" s="64"/>
      <x:c r="K5" s="64"/>
      <x:c r="L5" s="64"/>
      <x:c r="M5" s="64"/>
      <x:c r="N5" s="64"/>
      <x:c r="O5" s="64"/>
      <x:c r="P5" s="64"/>
      <x:c r="Q5" s="64"/>
    </x:row>
    <x:row r="6">
      <x:c r="A6" s="63" t="str">
        <x:v>SRC-01</x:v>
      </x:c>
      <x:c r="B6" s="63" t="str">
        <x:v>Jurnal penentuan ZNT/NIR Mijen</x:v>
      </x:c>
      <x:c r="C6" s="63" t="str">
        <x:v>Jurnal Geodesi Undip</x:v>
      </x:c>
      <x:c r="D6" s="63" t="str">
        <x:v>Akademik 2016</x:v>
      </x:c>
      <x:c r="E6" s="63" t="str">
        <x:v>Referensi metode; bukan Surabaya</x:v>
      </x:c>
      <x:c r="F6" s="63" t="str">
        <x:v>https://doi.org/10.14710/jgundip.2016.10607</x:v>
      </x:c>
      <x:c r="G6" s="63" t="str">
        <x:v>Minimum sampel, koreksi, NIR, CV</x:v>
      </x:c>
      <x:c r="H6" s="64"/>
      <x:c r="I6" s="64"/>
      <x:c r="J6" s="64"/>
      <x:c r="K6" s="64"/>
      <x:c r="L6" s="64"/>
      <x:c r="M6" s="64"/>
      <x:c r="N6" s="64"/>
      <x:c r="O6" s="64"/>
      <x:c r="P6" s="64"/>
      <x:c r="Q6" s="64"/>
    </x:row>
    <x:row r="7">
      <x:c r="A7" s="63" t="str">
        <x:v>SRC-02</x:v>
      </x:c>
      <x:c r="B7" s="63" t="str">
        <x:v>Perwali Surabaya No. 2 Tahun 2024</x:v>
      </x:c>
      <x:c r="C7" s="63" t="str">
        <x:v>JDIH Kota Surabaya</x:v>
      </x:c>
      <x:c r="D7" s="63" t="str">
        <x:v>Regulasi</x:v>
      </x:c>
      <x:c r="E7" s="63" t="str">
        <x:v>Berlaku</x:v>
      </x:c>
      <x:c r="F7" s="63" t="str">
        <x:v>https://jdih.surabaya.go.id/peraturan/4632</x:v>
      </x:c>
      <x:c r="G7" s="63" t="str">
        <x:v>Metode penilaian PBB-P2</x:v>
      </x:c>
      <x:c r="H7" s="64"/>
      <x:c r="I7" s="64"/>
      <x:c r="J7" s="64"/>
      <x:c r="K7" s="64"/>
      <x:c r="L7" s="64"/>
      <x:c r="M7" s="64"/>
      <x:c r="N7" s="64"/>
      <x:c r="O7" s="64"/>
      <x:c r="P7" s="64"/>
      <x:c r="Q7" s="64"/>
    </x:row>
    <x:row r="8">
      <x:c r="A8" s="63" t="str">
        <x:v>SRC-03</x:v>
      </x:c>
      <x:c r="B8" s="63" t="str">
        <x:v>PMK 85 Tahun 2024</x:v>
      </x:c>
      <x:c r="C8" s="63" t="str">
        <x:v>JDIH Kementerian Keuangan</x:v>
      </x:c>
      <x:c r="D8" s="63" t="str">
        <x:v>Regulasi</x:v>
      </x:c>
      <x:c r="E8" s="63" t="str">
        <x:v>Pedoman nasional</x:v>
      </x:c>
      <x:c r="F8" s="63" t="str">
        <x:v>https://jdih.kemenkeu.go.id/dok/pmk-85-tahun-2024/summary</x:v>
      </x:c>
      <x:c r="G8" s="63" t="str">
        <x:v>NIR/ZNT, DBKB, CAV/CAMA, QA rasio</x:v>
      </x:c>
      <x:c r="H8" s="64"/>
      <x:c r="I8" s="64"/>
      <x:c r="J8" s="64"/>
      <x:c r="K8" s="64"/>
      <x:c r="L8" s="64"/>
      <x:c r="M8" s="64"/>
      <x:c r="N8" s="64"/>
      <x:c r="O8" s="64"/>
      <x:c r="P8" s="64"/>
      <x:c r="Q8" s="64"/>
    </x:row>
    <x:row r="9">
      <x:c r="A9" s="63" t="str">
        <x:v>SRC-04</x:v>
      </x:c>
      <x:c r="B9" s="63" t="str">
        <x:v>Perda Surabaya No. 7 Tahun 2023</x:v>
      </x:c>
      <x:c r="C9" s="63" t="str">
        <x:v>Pemkot Surabaya</x:v>
      </x:c>
      <x:c r="D9" s="63" t="str">
        <x:v>Regulasi</x:v>
      </x:c>
      <x:c r="E9" s="63" t="str">
        <x:v>Dasar pajak</x:v>
      </x:c>
      <x:c r="F9" s="63" t="str">
        <x:v>https://pbb.surabaya.go.id/Content/assets/doc/Perda%20Surabaya%207%20th%202023%20pajak%20retribusi%20daerah.pdf</x:v>
      </x:c>
      <x:c r="G9" s="63" t="str">
        <x:v>NJOPTKP, DPP, tarif, tanggal keadaan objek</x:v>
      </x:c>
      <x:c r="H9" s="64"/>
      <x:c r="I9" s="64"/>
      <x:c r="J9" s="64"/>
      <x:c r="K9" s="64"/>
      <x:c r="L9" s="64"/>
      <x:c r="M9" s="64"/>
      <x:c r="N9" s="64"/>
      <x:c r="O9" s="64"/>
      <x:c r="P9" s="64"/>
      <x:c r="Q9" s="64"/>
    </x:row>
    <x:row r="10">
      <x:c r="A10" s="63" t="str">
        <x:v>SRC-05</x:v>
      </x:c>
      <x:c r="B10" s="63" t="str">
        <x:v>Perwali Surabaya No. 1 Tahun 2024</x:v>
      </x:c>
      <x:c r="C10" s="63" t="str">
        <x:v>JDIH Kota Surabaya</x:v>
      </x:c>
      <x:c r="D10" s="63" t="str">
        <x:v>Regulasi</x:v>
      </x:c>
      <x:c r="E10" s="63" t="str">
        <x:v>Berlaku</x:v>
      </x:c>
      <x:c r="F10" s="63" t="str">
        <x:v>https://jdih.surabaya.go.id/peraturan/4443</x:v>
      </x:c>
      <x:c r="G10" s="63" t="str">
        <x:v>Klasifikasi/dasar pengenaan NJOP</x:v>
      </x:c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</x:row>
    <x:row r="11">
      <x:c r="A11" s="63" t="str">
        <x:v>SRC-06</x:v>
      </x:c>
      <x:c r="B11" s="63" t="str">
        <x:v>Peta batas kecamatan 2026</x:v>
      </x:c>
      <x:c r="C11" s="63" t="str">
        <x:v>Open Data Surabaya</x:v>
      </x:c>
      <x:c r="D11" s="63" t="str">
        <x:v>SHP</x:v>
      </x:c>
      <x:c r="E11" s="63" t="str">
        <x:v>Tersedia resmi</x:v>
      </x:c>
      <x:c r="F11" s="63" t="str">
        <x:v>https://opendata.surabaya.go.id/kumpulan_dataset/peta-batas-administrasi-kecamatan</x:v>
      </x:c>
      <x:c r="G11" s="63" t="str">
        <x:v>Cakupan administratif</x:v>
      </x:c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</x:row>
    <x:row r="12">
      <x:c r="A12" s="63" t="str">
        <x:v>SRC-07</x:v>
      </x:c>
      <x:c r="B12" s="63" t="str">
        <x:v>Peta batas kelurahan 2026</x:v>
      </x:c>
      <x:c r="C12" s="63" t="str">
        <x:v>Open Data Surabaya</x:v>
      </x:c>
      <x:c r="D12" s="63" t="str">
        <x:v>SHP</x:v>
      </x:c>
      <x:c r="E12" s="63" t="str">
        <x:v>Tersedia resmi</x:v>
      </x:c>
      <x:c r="F12" s="63" t="str">
        <x:v>https://opendata.surabaya.go.id/kumpulan_dataset/peta-batas-administrasi-kelurahan</x:v>
      </x:c>
      <x:c r="G12" s="63" t="str">
        <x:v>Calon subdivisi ZNT</x:v>
      </x:c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</x:row>
    <x:row r="13">
      <x:c r="A13" s="63" t="str">
        <x:v>SRC-08</x:v>
      </x:c>
      <x:c r="B13" s="63" t="str">
        <x:v>Daftar alamat 31 kecamatan</x:v>
      </x:c>
      <x:c r="C13" s="63" t="str">
        <x:v>Pemkot Surabaya</x:v>
      </x:c>
      <x:c r="D13" s="63" t="str">
        <x:v>Halaman resmi</x:v>
      </x:c>
      <x:c r="E13" s="63" t="str">
        <x:v>Tersedia</x:v>
      </x:c>
      <x:c r="F13" s="63" t="str">
        <x:v>https://surabaya.go.id/id/page/0/6122/daftar-alamat-kecamatan</x:v>
      </x:c>
      <x:c r="G13" s="63" t="str">
        <x:v>Daftar kecamatan</x:v>
      </x:c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</x:row>
    <x:row r="14">
      <x:c r="A14" s="63" t="str">
        <x:v>SRC-09</x:v>
      </x:c>
      <x:c r="B14" s="63" t="str">
        <x:v>Satu Peta Surabaya</x:v>
      </x:c>
      <x:c r="C14" s="63" t="str">
        <x:v>Pemkot Surabaya</x:v>
      </x:c>
      <x:c r="D14" s="63" t="str">
        <x:v>Peta interaktif</x:v>
      </x:c>
      <x:c r="E14" s="63" t="str">
        <x:v>Tersedia visual</x:v>
      </x:c>
      <x:c r="F14" s="63" t="str">
        <x:v>https://peta.surabaya.go.id/open</x:v>
      </x:c>
      <x:c r="G14" s="63" t="str">
        <x:v>Peruntukan/fasilitas; belum diekspor</x:v>
      </x:c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</x:row>
    <x:row r="15">
      <x:c r="A15" s="63" t="str">
        <x:v>SRC-10</x:v>
      </x:c>
      <x:c r="B15" s="63" t="str">
        <x:v>BHUMI ATR/BPN</x:v>
      </x:c>
      <x:c r="C15" s="63" t="str">
        <x:v>ATR/BPN</x:v>
      </x:c>
      <x:c r="D15" s="63" t="str">
        <x:v>Peta interaktif</x:v>
      </x:c>
      <x:c r="E15" s="63" t="str">
        <x:v>Koneksi gagal saat akses</x:v>
      </x:c>
      <x:c r="F15" s="63" t="str">
        <x:v>https://bhumi.atrbpn.go.id/</x:v>
      </x:c>
      <x:c r="G15" s="63" t="str">
        <x:v>Rujukan ZNT nasional</x:v>
      </x:c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</x:row>
    <x:row r="16">
      <x:c r="A16" s="63" t="str">
        <x:v>SRC-11</x:v>
      </x:c>
      <x:c r="B16" s="63" t="str">
        <x:v>Keterangan NJOP PBB Online</x:v>
      </x:c>
      <x:c r="C16" s="63" t="str">
        <x:v>Bapenda Surabaya</x:v>
      </x:c>
      <x:c r="D16" s="63" t="str">
        <x:v>Layanan individual</x:v>
      </x:c>
      <x:c r="E16" s="63" t="str">
        <x:v>Butuh NIK, NOP, tahun, captcha</x:v>
      </x:c>
      <x:c r="F16" s="63" t="str">
        <x:v>https://pbb.surabaya.go.id/KeteranganNjop</x:v>
      </x:c>
      <x:c r="G16" s="63" t="str">
        <x:v>Tidak dipakai; akses berizin</x:v>
      </x:c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</x:row>
    <x:row r="17">
      <x:c r="A17" s="63" t="str">
        <x:v>SRC-12</x:v>
      </x:c>
      <x:c r="B17" s="63" t="str">
        <x:v>Objek yang disesuaikan NJOP-nya</x:v>
      </x:c>
      <x:c r="C17" s="63" t="str">
        <x:v>Open Data Surabaya</x:v>
      </x:c>
      <x:c r="D17" s="63" t="str">
        <x:v>CSV administrasi</x:v>
      </x:c>
      <x:c r="E17" s="63" t="str">
        <x:v>Tidak memuat nilai/m²</x:v>
      </x:c>
      <x:c r="F17" s="63" t="str">
        <x:v>https://opendata.surabaya.go.id/kumpulan_dataset/z011-10724-665</x:v>
      </x:c>
      <x:c r="G17" s="63" t="str">
        <x:v>Inventaris sumber; tidak dipakai hitung</x:v>
      </x:c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</x:row>
    <x:row r="18">
      <x:c r="A18" s="63" t="str">
        <x:v>R123-01</x:v>
      </x:c>
      <x:c r="B18" s="63" t="str">
        <x:v>Harga tanah Asemrowo</x:v>
      </x:c>
      <x:c r="C18" s="63" t="str">
        <x:v>Rumah123</x:v>
      </x:c>
      <x:c r="D18" s="63" t="str">
        <x:v>Harga penawaran</x:v>
      </x:c>
      <x:c r="E18" s="63" t="str">
        <x:v>Lima observasi pertama</x:v>
      </x:c>
      <x:c r="F18" s="63" t="str">
        <x:v>https://www.rumah123.com/jual/surabaya/asemrowo/tanah/</x:v>
      </x:c>
      <x:c r="G18" s="63" t="str">
        <x:v>Sampel_Harga</x:v>
      </x:c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</x:row>
    <x:row r="19">
      <x:c r="A19" s="63" t="str">
        <x:v>R123-02</x:v>
      </x:c>
      <x:c r="B19" s="63" t="str">
        <x:v>Harga tanah Benowo</x:v>
      </x:c>
      <x:c r="C19" s="63" t="str">
        <x:v>Rumah123</x:v>
      </x:c>
      <x:c r="D19" s="63" t="str">
        <x:v>Harga penawaran</x:v>
      </x:c>
      <x:c r="E19" s="63" t="str">
        <x:v>Lima observasi pertama</x:v>
      </x:c>
      <x:c r="F19" s="63" t="str">
        <x:v>https://www.rumah123.com/jual/surabaya/benowo/tanah/</x:v>
      </x:c>
      <x:c r="G19" s="63" t="str">
        <x:v>Sampel_Harga</x:v>
      </x:c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</x:row>
    <x:row r="20">
      <x:c r="A20" s="63" t="str">
        <x:v>R123-03</x:v>
      </x:c>
      <x:c r="B20" s="63" t="str">
        <x:v>Harga tanah Bubutan</x:v>
      </x:c>
      <x:c r="C20" s="63" t="str">
        <x:v>Rumah123</x:v>
      </x:c>
      <x:c r="D20" s="63" t="str">
        <x:v>Harga penawaran</x:v>
      </x:c>
      <x:c r="E20" s="63" t="str">
        <x:v>Lima observasi pertama</x:v>
      </x:c>
      <x:c r="F20" s="63" t="str">
        <x:v>https://www.rumah123.com/jual/surabaya/bubutan/tanah/</x:v>
      </x:c>
      <x:c r="G20" s="63" t="str">
        <x:v>Sampel_Harga</x:v>
      </x:c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</x:row>
    <x:row r="21">
      <x:c r="A21" s="63" t="str">
        <x:v>R123-04</x:v>
      </x:c>
      <x:c r="B21" s="63" t="str">
        <x:v>Harga tanah Bulak</x:v>
      </x:c>
      <x:c r="C21" s="63" t="str">
        <x:v>Rumah123</x:v>
      </x:c>
      <x:c r="D21" s="63" t="str">
        <x:v>Harga penawaran</x:v>
      </x:c>
      <x:c r="E21" s="63" t="str">
        <x:v>Lima observasi pertama</x:v>
      </x:c>
      <x:c r="F21" s="63" t="str">
        <x:v>https://www.rumah123.com/jual/surabaya/bulak/tanah/</x:v>
      </x:c>
      <x:c r="G21" s="63" t="str">
        <x:v>Sampel_Harga</x:v>
      </x:c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</x:row>
    <x:row r="22">
      <x:c r="A22" s="63" t="str">
        <x:v>R123-05</x:v>
      </x:c>
      <x:c r="B22" s="63" t="str">
        <x:v>Harga tanah Dukuh Pakis</x:v>
      </x:c>
      <x:c r="C22" s="63" t="str">
        <x:v>Rumah123</x:v>
      </x:c>
      <x:c r="D22" s="63" t="str">
        <x:v>Harga penawaran</x:v>
      </x:c>
      <x:c r="E22" s="63" t="str">
        <x:v>Lima observasi pertama</x:v>
      </x:c>
      <x:c r="F22" s="63" t="str">
        <x:v>https://www.rumah123.com/jual/surabaya/dukuh-pakis/tanah/</x:v>
      </x:c>
      <x:c r="G22" s="63" t="str">
        <x:v>Sampel_Harga</x:v>
      </x:c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</x:row>
    <x:row r="23">
      <x:c r="A23" s="63" t="str">
        <x:v>R123-06</x:v>
      </x:c>
      <x:c r="B23" s="63" t="str">
        <x:v>Harga tanah Gayungan</x:v>
      </x:c>
      <x:c r="C23" s="63" t="str">
        <x:v>Rumah123</x:v>
      </x:c>
      <x:c r="D23" s="63" t="str">
        <x:v>Harga penawaran</x:v>
      </x:c>
      <x:c r="E23" s="63" t="str">
        <x:v>Lima observasi pertama</x:v>
      </x:c>
      <x:c r="F23" s="63" t="str">
        <x:v>https://www.rumah123.com/jual/surabaya/gayungan/tanah/</x:v>
      </x:c>
      <x:c r="G23" s="63" t="str">
        <x:v>Sampel_Harga</x:v>
      </x:c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</x:row>
    <x:row r="24">
      <x:c r="A24" s="63" t="str">
        <x:v>R123-07</x:v>
      </x:c>
      <x:c r="B24" s="63" t="str">
        <x:v>Harga tanah Genteng</x:v>
      </x:c>
      <x:c r="C24" s="63" t="str">
        <x:v>Rumah123</x:v>
      </x:c>
      <x:c r="D24" s="63" t="str">
        <x:v>Harga penawaran</x:v>
      </x:c>
      <x:c r="E24" s="63" t="str">
        <x:v>Lima observasi pertama</x:v>
      </x:c>
      <x:c r="F24" s="63" t="str">
        <x:v>https://www.rumah123.com/jual/surabaya/genteng/tanah/</x:v>
      </x:c>
      <x:c r="G24" s="63" t="str">
        <x:v>Sampel_Harga</x:v>
      </x:c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</x:row>
    <x:row r="25">
      <x:c r="A25" s="63" t="str">
        <x:v>R123-08</x:v>
      </x:c>
      <x:c r="B25" s="63" t="str">
        <x:v>Harga tanah Gubeng</x:v>
      </x:c>
      <x:c r="C25" s="63" t="str">
        <x:v>Rumah123</x:v>
      </x:c>
      <x:c r="D25" s="63" t="str">
        <x:v>Harga penawaran</x:v>
      </x:c>
      <x:c r="E25" s="63" t="str">
        <x:v>Lima observasi pertama</x:v>
      </x:c>
      <x:c r="F25" s="63" t="str">
        <x:v>https://www.rumah123.com/jual/surabaya/gubeng/tanah/</x:v>
      </x:c>
      <x:c r="G25" s="63" t="str">
        <x:v>Sampel_Harga</x:v>
      </x:c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</x:row>
    <x:row r="26">
      <x:c r="A26" s="63" t="str">
        <x:v>R123-09</x:v>
      </x:c>
      <x:c r="B26" s="63" t="str">
        <x:v>Harga tanah Gunung Anyar</x:v>
      </x:c>
      <x:c r="C26" s="63" t="str">
        <x:v>Rumah123</x:v>
      </x:c>
      <x:c r="D26" s="63" t="str">
        <x:v>Harga penawaran</x:v>
      </x:c>
      <x:c r="E26" s="63" t="str">
        <x:v>Lima observasi pertama</x:v>
      </x:c>
      <x:c r="F26" s="63" t="str">
        <x:v>https://www.rumah123.com/jual/surabaya/gununganyar/tanah/</x:v>
      </x:c>
      <x:c r="G26" s="63" t="str">
        <x:v>Sampel_Harga</x:v>
      </x:c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</x:row>
    <x:row r="27">
      <x:c r="A27" s="63" t="str">
        <x:v>R123-10</x:v>
      </x:c>
      <x:c r="B27" s="63" t="str">
        <x:v>Harga tanah Jambangan</x:v>
      </x:c>
      <x:c r="C27" s="63" t="str">
        <x:v>Rumah123</x:v>
      </x:c>
      <x:c r="D27" s="63" t="str">
        <x:v>Harga penawaran</x:v>
      </x:c>
      <x:c r="E27" s="63" t="str">
        <x:v>Lima observasi pertama</x:v>
      </x:c>
      <x:c r="F27" s="63" t="str">
        <x:v>https://www.rumah123.com/jual/surabaya/jambangan/tanah/</x:v>
      </x:c>
      <x:c r="G27" s="63" t="str">
        <x:v>Sampel_Harga</x:v>
      </x:c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</x:row>
    <x:row r="28">
      <x:c r="A28" s="63" t="str">
        <x:v>R123-11</x:v>
      </x:c>
      <x:c r="B28" s="63" t="str">
        <x:v>Harga tanah Karang Pilang</x:v>
      </x:c>
      <x:c r="C28" s="63" t="str">
        <x:v>Rumah123</x:v>
      </x:c>
      <x:c r="D28" s="63" t="str">
        <x:v>Harga penawaran</x:v>
      </x:c>
      <x:c r="E28" s="63" t="str">
        <x:v>Lima observasi pertama</x:v>
      </x:c>
      <x:c r="F28" s="63" t="str">
        <x:v>https://www.rumah123.com/jual/surabaya/karangpilang/tanah/</x:v>
      </x:c>
      <x:c r="G28" s="63" t="str">
        <x:v>Sampel_Harga</x:v>
      </x:c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</x:row>
    <x:row r="29">
      <x:c r="A29" s="63" t="str">
        <x:v>R123-12</x:v>
      </x:c>
      <x:c r="B29" s="63" t="str">
        <x:v>Harga tanah Kenjeran</x:v>
      </x:c>
      <x:c r="C29" s="63" t="str">
        <x:v>Rumah123</x:v>
      </x:c>
      <x:c r="D29" s="63" t="str">
        <x:v>Harga penawaran</x:v>
      </x:c>
      <x:c r="E29" s="63" t="str">
        <x:v>Lima observasi pertama</x:v>
      </x:c>
      <x:c r="F29" s="63" t="str">
        <x:v>https://www.rumah123.com/jual/surabaya/kenjeran/tanah/</x:v>
      </x:c>
      <x:c r="G29" s="63" t="str">
        <x:v>Sampel_Harga</x:v>
      </x:c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</x:row>
    <x:row r="30">
      <x:c r="A30" s="63" t="str">
        <x:v>R123-13</x:v>
      </x:c>
      <x:c r="B30" s="63" t="str">
        <x:v>Harga tanah Krembangan</x:v>
      </x:c>
      <x:c r="C30" s="63" t="str">
        <x:v>Rumah123</x:v>
      </x:c>
      <x:c r="D30" s="63" t="str">
        <x:v>Harga penawaran</x:v>
      </x:c>
      <x:c r="E30" s="63" t="str">
        <x:v>Lima observasi pertama</x:v>
      </x:c>
      <x:c r="F30" s="63" t="str">
        <x:v>https://www.rumah123.com/jual/surabaya/krembangan/tanah/</x:v>
      </x:c>
      <x:c r="G30" s="63" t="str">
        <x:v>Sampel_Harga</x:v>
      </x:c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</x:row>
    <x:row r="31">
      <x:c r="A31" s="63" t="str">
        <x:v>R123-14</x:v>
      </x:c>
      <x:c r="B31" s="63" t="str">
        <x:v>Harga tanah Lakarsantri</x:v>
      </x:c>
      <x:c r="C31" s="63" t="str">
        <x:v>Rumah123</x:v>
      </x:c>
      <x:c r="D31" s="63" t="str">
        <x:v>Harga penawaran</x:v>
      </x:c>
      <x:c r="E31" s="63" t="str">
        <x:v>Lima observasi pertama</x:v>
      </x:c>
      <x:c r="F31" s="63" t="str">
        <x:v>https://www.rumah123.com/jual/surabaya/lakarsantri/tanah/</x:v>
      </x:c>
      <x:c r="G31" s="63" t="str">
        <x:v>Sampel_Harga</x:v>
      </x:c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</x:row>
    <x:row r="32">
      <x:c r="A32" s="63" t="str">
        <x:v>R123-15</x:v>
      </x:c>
      <x:c r="B32" s="63" t="str">
        <x:v>Harga tanah Mulyorejo</x:v>
      </x:c>
      <x:c r="C32" s="63" t="str">
        <x:v>Rumah123</x:v>
      </x:c>
      <x:c r="D32" s="63" t="str">
        <x:v>Harga penawaran</x:v>
      </x:c>
      <x:c r="E32" s="63" t="str">
        <x:v>Lima observasi pertama</x:v>
      </x:c>
      <x:c r="F32" s="63" t="str">
        <x:v>https://www.rumah123.com/jual/surabaya/mulyorejo/tanah/</x:v>
      </x:c>
      <x:c r="G32" s="63" t="str">
        <x:v>Sampel_Harga</x:v>
      </x:c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</x:row>
    <x:row r="33">
      <x:c r="A33" s="63" t="str">
        <x:v>R123-16</x:v>
      </x:c>
      <x:c r="B33" s="63" t="str">
        <x:v>Harga tanah Pabean Cantian</x:v>
      </x:c>
      <x:c r="C33" s="63" t="str">
        <x:v>Rumah123</x:v>
      </x:c>
      <x:c r="D33" s="63" t="str">
        <x:v>Harga penawaran</x:v>
      </x:c>
      <x:c r="E33" s="63" t="str">
        <x:v>Lima observasi pertama</x:v>
      </x:c>
      <x:c r="F33" s="63" t="str">
        <x:v>https://www.rumah123.com/jual/surabaya/pabean-cantikan/tanah/</x:v>
      </x:c>
      <x:c r="G33" s="63" t="str">
        <x:v>Sampel_Harga</x:v>
      </x:c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</x:row>
    <x:row r="34">
      <x:c r="A34" s="63" t="str">
        <x:v>R123-17</x:v>
      </x:c>
      <x:c r="B34" s="63" t="str">
        <x:v>Harga tanah Pakal</x:v>
      </x:c>
      <x:c r="C34" s="63" t="str">
        <x:v>Rumah123</x:v>
      </x:c>
      <x:c r="D34" s="63" t="str">
        <x:v>Harga penawaran</x:v>
      </x:c>
      <x:c r="E34" s="63" t="str">
        <x:v>Lima observasi pertama</x:v>
      </x:c>
      <x:c r="F34" s="63" t="str">
        <x:v>https://www.rumah123.com/jual/surabaya/pakal/tanah/</x:v>
      </x:c>
      <x:c r="G34" s="63" t="str">
        <x:v>Sampel_Harga</x:v>
      </x:c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</x:row>
    <x:row r="35">
      <x:c r="A35" s="63" t="str">
        <x:v>R123-18</x:v>
      </x:c>
      <x:c r="B35" s="63" t="str">
        <x:v>Harga tanah Rungkut</x:v>
      </x:c>
      <x:c r="C35" s="63" t="str">
        <x:v>Rumah123</x:v>
      </x:c>
      <x:c r="D35" s="63" t="str">
        <x:v>Harga penawaran</x:v>
      </x:c>
      <x:c r="E35" s="63" t="str">
        <x:v>Lima observasi pertama</x:v>
      </x:c>
      <x:c r="F35" s="63" t="str">
        <x:v>https://www.rumah123.com/jual/surabaya/rungkut/tanah/</x:v>
      </x:c>
      <x:c r="G35" s="63" t="str">
        <x:v>Sampel_Harga</x:v>
      </x:c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</x:row>
    <x:row r="36">
      <x:c r="A36" s="63" t="str">
        <x:v>R123-19</x:v>
      </x:c>
      <x:c r="B36" s="63" t="str">
        <x:v>Harga tanah Sambikerep</x:v>
      </x:c>
      <x:c r="C36" s="63" t="str">
        <x:v>Rumah123</x:v>
      </x:c>
      <x:c r="D36" s="63" t="str">
        <x:v>Harga penawaran</x:v>
      </x:c>
      <x:c r="E36" s="63" t="str">
        <x:v>Lima observasi pertama</x:v>
      </x:c>
      <x:c r="F36" s="63" t="str">
        <x:v>https://www.rumah123.com/jual/surabaya/sambikerep/tanah/</x:v>
      </x:c>
      <x:c r="G36" s="63" t="str">
        <x:v>Sampel_Harga</x:v>
      </x:c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</x:row>
    <x:row r="37">
      <x:c r="A37" s="63" t="str">
        <x:v>R123-20</x:v>
      </x:c>
      <x:c r="B37" s="63" t="str">
        <x:v>Harga tanah Sawahan</x:v>
      </x:c>
      <x:c r="C37" s="63" t="str">
        <x:v>Rumah123</x:v>
      </x:c>
      <x:c r="D37" s="63" t="str">
        <x:v>Harga penawaran</x:v>
      </x:c>
      <x:c r="E37" s="63" t="str">
        <x:v>Lima observasi pertama</x:v>
      </x:c>
      <x:c r="F37" s="63" t="str">
        <x:v>https://www.rumah123.com/jual/surabaya/sawahan/tanah/</x:v>
      </x:c>
      <x:c r="G37" s="63" t="str">
        <x:v>Sampel_Harga</x:v>
      </x:c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</x:row>
    <x:row r="38">
      <x:c r="A38" s="63" t="str">
        <x:v>R123-21</x:v>
      </x:c>
      <x:c r="B38" s="63" t="str">
        <x:v>Harga tanah Semampir</x:v>
      </x:c>
      <x:c r="C38" s="63" t="str">
        <x:v>Rumah123</x:v>
      </x:c>
      <x:c r="D38" s="63" t="str">
        <x:v>Harga penawaran</x:v>
      </x:c>
      <x:c r="E38" s="63" t="str">
        <x:v>Lima observasi pertama</x:v>
      </x:c>
      <x:c r="F38" s="63" t="str">
        <x:v>https://www.rumah123.com/jual/surabaya/semampir/tanah/</x:v>
      </x:c>
      <x:c r="G38" s="63" t="str">
        <x:v>Sampel_Harga</x:v>
      </x:c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</x:row>
    <x:row r="39">
      <x:c r="A39" s="63" t="str">
        <x:v>R123-22</x:v>
      </x:c>
      <x:c r="B39" s="63" t="str">
        <x:v>Harga tanah Simokerto</x:v>
      </x:c>
      <x:c r="C39" s="63" t="str">
        <x:v>Rumah123</x:v>
      </x:c>
      <x:c r="D39" s="63" t="str">
        <x:v>Harga penawaran</x:v>
      </x:c>
      <x:c r="E39" s="63" t="str">
        <x:v>Lima observasi pertama</x:v>
      </x:c>
      <x:c r="F39" s="63" t="str">
        <x:v>https://www.rumah123.com/jual/surabaya/simokerto/tanah/</x:v>
      </x:c>
      <x:c r="G39" s="63" t="str">
        <x:v>Sampel_Harga</x:v>
      </x:c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</x:row>
    <x:row r="40">
      <x:c r="A40" s="63" t="str">
        <x:v>R123-23</x:v>
      </x:c>
      <x:c r="B40" s="63" t="str">
        <x:v>Harga tanah Sukolilo</x:v>
      </x:c>
      <x:c r="C40" s="63" t="str">
        <x:v>Rumah123</x:v>
      </x:c>
      <x:c r="D40" s="63" t="str">
        <x:v>Harga penawaran</x:v>
      </x:c>
      <x:c r="E40" s="63" t="str">
        <x:v>Lima observasi pertama</x:v>
      </x:c>
      <x:c r="F40" s="63" t="str">
        <x:v>https://www.rumah123.com/jual/surabaya/sukolilo/tanah/</x:v>
      </x:c>
      <x:c r="G40" s="63" t="str">
        <x:v>Sampel_Harga</x:v>
      </x:c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</x:row>
    <x:row r="41">
      <x:c r="A41" s="63" t="str">
        <x:v>R123-24</x:v>
      </x:c>
      <x:c r="B41" s="63" t="str">
        <x:v>Harga tanah Sukomanunggal</x:v>
      </x:c>
      <x:c r="C41" s="63" t="str">
        <x:v>Rumah123</x:v>
      </x:c>
      <x:c r="D41" s="63" t="str">
        <x:v>Harga penawaran</x:v>
      </x:c>
      <x:c r="E41" s="63" t="str">
        <x:v>Lima observasi pertama</x:v>
      </x:c>
      <x:c r="F41" s="63" t="str">
        <x:v>https://www.rumah123.com/jual/surabaya/sukomanunggal/tanah/</x:v>
      </x:c>
      <x:c r="G41" s="63" t="str">
        <x:v>Sampel_Harga</x:v>
      </x:c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</x:row>
    <x:row r="42">
      <x:c r="A42" s="63" t="str">
        <x:v>R123-25</x:v>
      </x:c>
      <x:c r="B42" s="63" t="str">
        <x:v>Harga tanah Tambaksari</x:v>
      </x:c>
      <x:c r="C42" s="63" t="str">
        <x:v>Rumah123</x:v>
      </x:c>
      <x:c r="D42" s="63" t="str">
        <x:v>Harga penawaran</x:v>
      </x:c>
      <x:c r="E42" s="63" t="str">
        <x:v>Lima observasi pertama</x:v>
      </x:c>
      <x:c r="F42" s="63" t="str">
        <x:v>https://www.rumah123.com/jual/surabaya/tambaksari/tanah/</x:v>
      </x:c>
      <x:c r="G42" s="63" t="str">
        <x:v>Sampel_Harga</x:v>
      </x:c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</x:row>
    <x:row r="43">
      <x:c r="A43" s="63" t="str">
        <x:v>R123-26</x:v>
      </x:c>
      <x:c r="B43" s="63" t="str">
        <x:v>Harga tanah Tandes</x:v>
      </x:c>
      <x:c r="C43" s="63" t="str">
        <x:v>Rumah123</x:v>
      </x:c>
      <x:c r="D43" s="63" t="str">
        <x:v>Harga penawaran</x:v>
      </x:c>
      <x:c r="E43" s="63" t="str">
        <x:v>Lima observasi pertama</x:v>
      </x:c>
      <x:c r="F43" s="63" t="str">
        <x:v>https://www.rumah123.com/jual/surabaya/tandes/tanah/</x:v>
      </x:c>
      <x:c r="G43" s="63" t="str">
        <x:v>Sampel_Harga</x:v>
      </x:c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</x:row>
    <x:row r="44">
      <x:c r="A44" s="63" t="str">
        <x:v>R123-27</x:v>
      </x:c>
      <x:c r="B44" s="63" t="str">
        <x:v>Harga tanah Tegalsari</x:v>
      </x:c>
      <x:c r="C44" s="63" t="str">
        <x:v>Rumah123</x:v>
      </x:c>
      <x:c r="D44" s="63" t="str">
        <x:v>Harga penawaran</x:v>
      </x:c>
      <x:c r="E44" s="63" t="str">
        <x:v>Lima observasi pertama</x:v>
      </x:c>
      <x:c r="F44" s="63" t="str">
        <x:v>https://www.rumah123.com/jual/surabaya/tegalsari/tanah/</x:v>
      </x:c>
      <x:c r="G44" s="63" t="str">
        <x:v>Sampel_Harga</x:v>
      </x:c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</x:row>
    <x:row r="45">
      <x:c r="A45" s="63" t="str">
        <x:v>R123-28</x:v>
      </x:c>
      <x:c r="B45" s="63" t="str">
        <x:v>Harga tanah Tenggilis Mejoyo</x:v>
      </x:c>
      <x:c r="C45" s="63" t="str">
        <x:v>Rumah123</x:v>
      </x:c>
      <x:c r="D45" s="63" t="str">
        <x:v>Harga penawaran</x:v>
      </x:c>
      <x:c r="E45" s="63" t="str">
        <x:v>Lima observasi pertama</x:v>
      </x:c>
      <x:c r="F45" s="63" t="str">
        <x:v>https://www.rumah123.com/jual/surabaya/tenggilis-mejoyo/tanah/</x:v>
      </x:c>
      <x:c r="G45" s="63" t="str">
        <x:v>Sampel_Harga</x:v>
      </x:c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</x:row>
    <x:row r="46">
      <x:c r="A46" s="63" t="str">
        <x:v>R123-29</x:v>
      </x:c>
      <x:c r="B46" s="63" t="str">
        <x:v>Harga tanah Wiyung</x:v>
      </x:c>
      <x:c r="C46" s="63" t="str">
        <x:v>Rumah123</x:v>
      </x:c>
      <x:c r="D46" s="63" t="str">
        <x:v>Harga penawaran</x:v>
      </x:c>
      <x:c r="E46" s="63" t="str">
        <x:v>Lima observasi pertama</x:v>
      </x:c>
      <x:c r="F46" s="63" t="str">
        <x:v>https://www.rumah123.com/jual/surabaya/wiyung/tanah/</x:v>
      </x:c>
      <x:c r="G46" s="63" t="str">
        <x:v>Sampel_Harga</x:v>
      </x:c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</x:row>
    <x:row r="47">
      <x:c r="A47" s="63" t="str">
        <x:v>R123-30</x:v>
      </x:c>
      <x:c r="B47" s="63" t="str">
        <x:v>Harga tanah Wonocolo</x:v>
      </x:c>
      <x:c r="C47" s="63" t="str">
        <x:v>Rumah123</x:v>
      </x:c>
      <x:c r="D47" s="63" t="str">
        <x:v>Harga penawaran</x:v>
      </x:c>
      <x:c r="E47" s="63" t="str">
        <x:v>Lima observasi pertama</x:v>
      </x:c>
      <x:c r="F47" s="63" t="str">
        <x:v>https://www.rumah123.com/jual/surabaya/wonocolo/tanah/</x:v>
      </x:c>
      <x:c r="G47" s="63" t="str">
        <x:v>Sampel_Harga</x:v>
      </x:c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</x:row>
    <x:row r="48">
      <x:c r="A48" s="63" t="str">
        <x:v>R123-31</x:v>
      </x:c>
      <x:c r="B48" s="63" t="str">
        <x:v>Harga tanah Wonokromo</x:v>
      </x:c>
      <x:c r="C48" s="63" t="str">
        <x:v>Rumah123</x:v>
      </x:c>
      <x:c r="D48" s="63" t="str">
        <x:v>Harga penawaran</x:v>
      </x:c>
      <x:c r="E48" s="63" t="str">
        <x:v>Lima observasi pertama</x:v>
      </x:c>
      <x:c r="F48" s="63" t="str">
        <x:v>https://www.rumah123.com/jual/surabaya/wonokromo/tanah/</x:v>
      </x:c>
      <x:c r="G48" s="63" t="str">
        <x:v>Sampel_Harga</x:v>
      </x:c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  <x:col min="5" max="5" width="58" hidden="0" customWidth="1"/>
  </x:cols>
  <x:sheetData>
    <x:row r="1" ht="26" customHeight="1">
      <x:c r="A1" s="71" t="str">
        <x:v>Audit dan Kontrol Model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</x:row>
    <x:row r="2" ht="32" customHeight="1">
      <x:c r="A2" s="65" t="str">
        <x:v>Sheet terminal: tidak menjadi input bagi hasil lain. Status harus dibaca sebelum memakai output.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</x:row>
    <x:row r="4">
      <x:c r="A4" s="64"/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</x:row>
    <x:row r="5" ht="32" customHeight="1">
      <x:c r="A5" s="69" t="str">
        <x:v>Kontrol</x:v>
      </x:c>
      <x:c r="B5" s="69" t="str">
        <x:v>Target</x:v>
      </x:c>
      <x:c r="C5" s="69" t="str">
        <x:v>Aktual</x:v>
      </x:c>
      <x:c r="D5" s="69" t="str">
        <x:v>Status</x:v>
      </x:c>
      <x:c r="E5" s="69" t="str">
        <x:v>Interpretasi</x:v>
      </x:c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</x:row>
    <x:row r="6">
      <x:c r="A6" s="63" t="str">
        <x:v>Jumlah kecamatan</x:v>
      </x:c>
      <x:c r="B6" s="63" t="n">
        <x:v>31</x:v>
      </x:c>
      <x:c r="C6" s="89" t="n">
        <x:f>COUNTA(NIR_ZNT!A7:A37)</x:f>
        <x:v>31</x:v>
      </x:c>
      <x:c r="D6" s="89" t="str">
        <x:f>IF(B6=C6,"OK","PERIKSA")</x:f>
        <x:v>OK</x:v>
      </x:c>
      <x:c r="E6" s="63" t="str">
        <x:v>Harus mencakup seluruh kecamatan administratif Surabaya.</x:v>
      </x:c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</x:row>
    <x:row r="7">
      <x:c r="A7" s="63" t="str">
        <x:v>Jumlah sampel raw</x:v>
      </x:c>
      <x:c r="B7" s="63" t="n">
        <x:v>155</x:v>
      </x:c>
      <x:c r="C7" s="89" t="n">
        <x:f>COUNTA(Sampel_Harga!F7:F161)</x:f>
        <x:v>155</x:v>
      </x:c>
      <x:c r="D7" s="89" t="str">
        <x:f>IF(B7=C7,"OK","PERIKSA")</x:f>
        <x:v>OK</x:v>
      </x:c>
      <x:c r="E7" s="63" t="str">
        <x:v>Lima proksi per kecamatan.</x:v>
      </x:c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</x:row>
    <x:row r="8">
      <x:c r="A8" s="63" t="str">
        <x:v>Minimum sampel valid semua zona</x:v>
      </x:c>
      <x:c r="B8" s="63" t="n">
        <x:v>3</x:v>
      </x:c>
      <x:c r="C8" s="89" t="n">
        <x:f>MIN(NIR_ZNT!D7:D37)</x:f>
        <x:v>3</x:v>
      </x:c>
      <x:c r="D8" s="89" t="str">
        <x:f>IF(C8&gt;=B8,"OK","PERIKSA")</x:f>
        <x:v>OK</x:v>
      </x:c>
      <x:c r="E8" s="63" t="str">
        <x:v>Nilai aktual adalah minimum n_valid antar zona.</x:v>
      </x:c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</x:row>
    <x:row r="9">
      <x:c r="A9" s="63" t="str">
        <x:v>NIR tidak kosong</x:v>
      </x:c>
      <x:c r="B9" s="63" t="n">
        <x:v>31</x:v>
      </x:c>
      <x:c r="C9" s="89" t="n">
        <x:f>COUNT(NIR_ZNT!K7:K37)</x:f>
        <x:v>31</x:v>
      </x:c>
      <x:c r="D9" s="89" t="str">
        <x:f>IF(B9=C9,"OK","PERIKSA")</x:f>
        <x:v>OK</x:v>
      </x:c>
      <x:c r="E9" s="63" t="str">
        <x:v>Semua zona harus menghasilkan NIR proksi.</x:v>
      </x:c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</x:row>
    <x:row r="10">
      <x:c r="A10" s="63" t="str">
        <x:v>Zona lulus CV</x:v>
      </x:c>
      <x:c r="B10" s="63" t="str">
        <x:v>Informasi</x:v>
      </x:c>
      <x:c r="C10" s="89" t="n">
        <x:f>COUNTIF(NIR_ZNT!M7:M37,"LOLOS - PROKSIONAL")</x:f>
        <x:v>20</x:v>
      </x:c>
      <x:c r="D10" s="89" t="str">
        <x:f>"INFO"</x:f>
        <x:v>INFO</x:v>
      </x:c>
      <x:c r="E10" s="63" t="str">
        <x:v>Tidak wajib 31; kegagalan menunjukkan kecamatan terlalu heterogen sebagai ZNT.</x:v>
      </x:c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</x:row>
    <x:row r="11">
      <x:c r="A11" s="63" t="str">
        <x:v>Zona perlu pecah</x:v>
      </x:c>
      <x:c r="B11" s="63" t="str">
        <x:v>Informasi</x:v>
      </x:c>
      <x:c r="C11" s="89" t="n">
        <x:f>COUNTIF(NIR_ZNT!M7:M37,"PERLU PECAH ZNT - CV TINGGI")</x:f>
        <x:v>11</x:v>
      </x:c>
      <x:c r="D11" s="89" t="str">
        <x:f>"INFO"</x:f>
        <x:v>INFO</x:v>
      </x:c>
      <x:c r="E11" s="63" t="str">
        <x:v>Prioritas survei/subdivisi.</x:v>
      </x:c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</x:row>
    <x:row r="12">
      <x:c r="A12" s="63" t="str">
        <x:v>DPP dalam 20%-100%</x:v>
      </x:c>
      <x:c r="B12" s="63" t="str">
        <x:v>Ya</x:v>
      </x:c>
      <x:c r="C12" s="89" t="str">
        <x:f>IF(AND(Asumsi!B22&gt;=0.2,Asumsi!B22&lt;=1),"Ya","Tidak")</x:f>
        <x:v>Ya</x:v>
      </x:c>
      <x:c r="D12" s="89" t="str">
        <x:f>IF(B12=C12,"OK","PERIKSA")</x:f>
        <x:v>OK</x:v>
      </x:c>
      <x:c r="E12" s="63" t="str">
        <x:v>Rentang legal Perda; angka spesifik tetap perlu kebijakan objek.</x:v>
      </x:c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</x:row>
    <x:row r="13">
      <x:c r="A13" s="63" t="str">
        <x:v>NJOPTKP</x:v>
      </x:c>
      <x:c r="B13" s="85" t="n">
        <x:v>15000000</x:v>
      </x:c>
      <x:c r="C13" s="90" t="n">
        <x:f>Asumsi!B21</x:f>
        <x:v>15000000</x:v>
      </x:c>
      <x:c r="D13" s="89" t="str">
        <x:f>IF(B13=C13,"OK","PERIKSA")</x:f>
        <x:v>OK</x:v>
      </x:c>
      <x:c r="E13" s="63" t="str">
        <x:v>Harus sama dengan Perda 7/2023.</x:v>
      </x:c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</x:row>
    <x:row r="14">
      <x:c r="A14" s="63" t="str">
        <x:v>Nilai objek positif</x:v>
      </x:c>
      <x:c r="B14" s="63" t="n">
        <x:v>31</x:v>
      </x:c>
      <x:c r="C14" s="89" t="n">
        <x:f>COUNTIF(Objek_Representatif!J7:J37,"&gt;0")</x:f>
        <x:v>31</x:v>
      </x:c>
      <x:c r="D14" s="89" t="str">
        <x:f>IF(B14=C14,"OK","PERIKSA")</x:f>
        <x:v>OK</x:v>
      </x:c>
      <x:c r="E14" s="63" t="str">
        <x:v>Semua objek skenario memiliki NJOP &gt; 0.</x:v>
      </x:c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</x:row>
    <x:row r="15">
      <x:c r="A15" s="63" t="str">
        <x:v>PBB nonnegatif</x:v>
      </x:c>
      <x:c r="B15" s="63" t="n">
        <x:v>31</x:v>
      </x:c>
      <x:c r="C15" s="89" t="n">
        <x:f>IF(COUNT(PBB_P2!H7:H37)=31,COUNTIF(PBB_P2!H7:H37,"&gt;=0"),COUNT(PBB_P2!H7:H37))</x:f>
        <x:v>31</x:v>
      </x:c>
      <x:c r="D15" s="89" t="str">
        <x:f>IF(B15=C15,"OK","PERIKSA")</x:f>
        <x:v>OK</x:v>
      </x:c>
      <x:c r="E15" s="63" t="str">
        <x:v>Tidak boleh ada hasil negatif.</x:v>
      </x:c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</x:row>
    <x:row r="16">
      <x:c r="A16" s="63" t="str">
        <x:v>Input asumsi terisi</x:v>
      </x:c>
      <x:c r="B16" s="63" t="n">
        <x:v>17</x:v>
      </x:c>
      <x:c r="C16" s="89" t="n">
        <x:f>COUNTA(Asumsi!B6:B22)</x:f>
        <x:v>17</x:v>
      </x:c>
      <x:c r="D16" s="89" t="str">
        <x:f>IF(B16=C16,"OK","PERIKSA")</x:f>
        <x:v>OK</x:v>
      </x:c>
      <x:c r="E16" s="63" t="str">
        <x:v>Sel B6:B22 harus lengkap; kosong tidak boleh diperlakukan sebagai nol.</x:v>
      </x:c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</x:row>
    <x:row r="18" ht="22" customHeight="1">
      <x:c r="A18" s="91" t="str">
        <x:v>Keterbatasan kritis yang belum bisa diaudit dengan data publik</x:v>
      </x:c>
      <x:c r="B18" s="91"/>
      <x:c r="C18" s="91"/>
      <x:c r="D18" s="91"/>
      <x:c r="E18" s="91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</x:row>
    <x:row r="19" ht="40" customHeight="1">
      <x:c r="A19" s="63" t="str">
        <x:v>1</x:v>
      </x:c>
      <x:c r="B19" s="63" t="str">
        <x:v>Tidak ada harga transaksi anonim per bidang, sehingga rasio NJOP terhadap pasar, COD, dan PRD belum dapat dihitung.</x:v>
      </x:c>
      <x:c r="C19" s="63"/>
      <x:c r="D19" s="63"/>
      <x:c r="E19" s="63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</x:row>
    <x:row r="20" ht="40" customHeight="1">
      <x:c r="A20" s="63" t="str">
        <x:v>2</x:v>
      </x:c>
      <x:c r="B20" s="63" t="str">
        <x:v>Lima iklan pertama bukan sampel acak dan dapat berisi duplikasi, bangunan lama, atau segmen penggunaan berbeda.</x:v>
      </x:c>
      <x:c r="C20" s="63"/>
      <x:c r="D20" s="63"/>
      <x:c r="E20" s="63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</x:row>
    <x:row r="21" ht="40" customHeight="1">
      <x:c r="A21" s="63" t="str">
        <x:v>3</x:v>
      </x:c>
      <x:c r="B21" s="63" t="str">
        <x:v>Kecamatan terlalu luas sebagai ZNT; CV tinggi adalah sinyal kegagalan homogenitas, bukan sekadar masalah statistik.</x:v>
      </x:c>
      <x:c r="C21" s="63"/>
      <x:c r="D21" s="63"/>
      <x:c r="E21" s="63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</x:row>
    <x:row r="22" ht="40" customHeight="1">
      <x:c r="A22" s="63" t="str">
        <x:v>4</x:v>
      </x:c>
      <x:c r="B22" s="63" t="str">
        <x:v>DBKB, JPB, umur, dan kondisi bangunan adalah asumsi; NJOP bangunan belum layak penetapan.</x:v>
      </x:c>
      <x:c r="C22" s="63"/>
      <x:c r="D22" s="63"/>
      <x:c r="E22" s="63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</x:row>
    <x:row r="23" ht="40" customHeight="1">
      <x:c r="A23" s="63" t="str">
        <x:v>5</x:v>
      </x:c>
      <x:c r="B23" s="63" t="str">
        <x:v>Pembulatan Rp100.000/m² bukan tabel kelas NJOP resmi.</x:v>
      </x:c>
      <x:c r="C23" s="63"/>
      <x:c r="D23" s="63"/>
      <x:c r="E23" s="63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</x:row>
    <x:row r="24" ht="40" customHeight="1">
      <x:c r="A24" s="63" t="str">
        <x:v>6</x:v>
      </x:c>
      <x:c r="B24" s="63" t="str">
        <x:v>PBB adalah skenario DPP 20%; kebijakan persentase kelompok objek belum tersedia dalam data yang ditemukan.</x:v>
      </x:c>
      <x:c r="C24" s="63"/>
      <x:c r="D24" s="63"/>
      <x:c r="E24" s="63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</x:row>
    <x:row r="201">
      <x:c r="A201" s="64"/>
      <x:c r="B201" s="64"/>
      <x:c r="C201" s="64"/>
      <x:c r="D201" s="64"/>
      <x:c r="E201" s="64"/>
      <x:c r="F201" s="64"/>
      <x:c r="G201" s="64"/>
      <x:c r="H201" s="64"/>
      <x:c r="I201" s="64"/>
      <x:c r="J201" s="64"/>
      <x:c r="K201" s="64"/>
      <x:c r="L201" s="64"/>
      <x:c r="M201" s="64"/>
      <x:c r="N201" s="64"/>
      <x:c r="O201" s="64"/>
      <x:c r="P201" s="64"/>
      <x:c r="Q201" s="64"/>
    </x:row>
    <x:row r="202">
      <x:c r="A202" s="64"/>
      <x:c r="B202" s="64"/>
      <x:c r="C202" s="64"/>
      <x:c r="D202" s="64"/>
      <x:c r="E202" s="64"/>
      <x:c r="F202" s="64"/>
      <x:c r="G202" s="64"/>
      <x:c r="H202" s="64"/>
      <x:c r="I202" s="64"/>
      <x:c r="J202" s="64"/>
      <x:c r="K202" s="64"/>
      <x:c r="L202" s="64"/>
      <x:c r="M202" s="64"/>
      <x:c r="N202" s="64"/>
      <x:c r="O202" s="64"/>
      <x:c r="P202" s="64"/>
      <x:c r="Q202" s="64"/>
    </x:row>
    <x:row r="203">
      <x:c r="A203" s="64"/>
      <x:c r="B203" s="64"/>
      <x:c r="C203" s="64"/>
      <x:c r="D203" s="64"/>
      <x:c r="E203" s="64"/>
      <x:c r="F203" s="64"/>
      <x:c r="G203" s="64"/>
      <x:c r="H203" s="64"/>
      <x:c r="I203" s="64"/>
      <x:c r="J203" s="64"/>
      <x:c r="K203" s="64"/>
      <x:c r="L203" s="64"/>
      <x:c r="M203" s="64"/>
      <x:c r="N203" s="64"/>
      <x:c r="O203" s="64"/>
      <x:c r="P203" s="64"/>
      <x:c r="Q203" s="64"/>
    </x:row>
    <x:row r="204">
      <x:c r="A204" s="64"/>
      <x:c r="B204" s="64"/>
      <x:c r="C204" s="64"/>
      <x:c r="D204" s="64"/>
      <x:c r="E204" s="64"/>
      <x:c r="F204" s="64"/>
      <x:c r="G204" s="64"/>
      <x:c r="H204" s="64"/>
      <x:c r="I204" s="64"/>
      <x:c r="J204" s="64"/>
      <x:c r="K204" s="64"/>
      <x:c r="L204" s="64"/>
      <x:c r="M204" s="64"/>
      <x:c r="N204" s="64"/>
      <x:c r="O204" s="64"/>
      <x:c r="P204" s="64"/>
      <x:c r="Q204" s="64"/>
    </x:row>
    <x:row r="205">
      <x:c r="A205" s="64"/>
      <x:c r="B205" s="64"/>
      <x:c r="C205" s="64"/>
      <x:c r="D205" s="64"/>
      <x:c r="E205" s="64"/>
      <x:c r="F205" s="64"/>
      <x:c r="G205" s="64"/>
      <x:c r="H205" s="64"/>
      <x:c r="I205" s="64"/>
      <x:c r="J205" s="64"/>
      <x:c r="K205" s="64"/>
      <x:c r="L205" s="64"/>
      <x:c r="M205" s="64"/>
      <x:c r="N205" s="64"/>
      <x:c r="O205" s="64"/>
      <x:c r="P205" s="64"/>
      <x:c r="Q205" s="64"/>
    </x:row>
    <x:row r="206">
      <x:c r="A206" s="64"/>
      <x:c r="B206" s="64"/>
      <x:c r="C206" s="64"/>
      <x:c r="D206" s="64"/>
      <x:c r="E206" s="64"/>
      <x:c r="F206" s="64"/>
      <x:c r="G206" s="64"/>
      <x:c r="H206" s="64"/>
      <x:c r="I206" s="64"/>
      <x:c r="J206" s="64"/>
      <x:c r="K206" s="64"/>
      <x:c r="L206" s="64"/>
      <x:c r="M206" s="64"/>
      <x:c r="N206" s="64"/>
      <x:c r="O206" s="64"/>
      <x:c r="P206" s="64"/>
      <x:c r="Q206" s="64"/>
    </x:row>
    <x:row r="207">
      <x:c r="A207" s="64"/>
      <x:c r="B207" s="64"/>
      <x:c r="C207" s="64"/>
      <x:c r="D207" s="64"/>
      <x:c r="E207" s="64"/>
      <x:c r="F207" s="64"/>
      <x:c r="G207" s="64"/>
      <x:c r="H207" s="64"/>
      <x:c r="I207" s="64"/>
      <x:c r="J207" s="64"/>
      <x:c r="K207" s="64"/>
      <x:c r="L207" s="64"/>
      <x:c r="M207" s="64"/>
      <x:c r="N207" s="64"/>
      <x:c r="O207" s="64"/>
      <x:c r="P207" s="64"/>
      <x:c r="Q207" s="64"/>
    </x:row>
    <x:row r="208">
      <x:c r="A208" s="64"/>
      <x:c r="B208" s="64"/>
      <x:c r="C208" s="64"/>
      <x:c r="D208" s="64"/>
      <x:c r="E208" s="64"/>
      <x:c r="F208" s="64"/>
      <x:c r="G208" s="64"/>
      <x:c r="H208" s="64"/>
      <x:c r="I208" s="64"/>
      <x:c r="J208" s="64"/>
      <x:c r="K208" s="64"/>
      <x:c r="L208" s="64"/>
      <x:c r="M208" s="64"/>
      <x:c r="N208" s="64"/>
      <x:c r="O208" s="64"/>
      <x:c r="P208" s="64"/>
      <x:c r="Q208" s="64"/>
    </x:row>
    <x:row r="209">
      <x:c r="A209" s="64"/>
      <x:c r="B209" s="64"/>
      <x:c r="C209" s="64"/>
      <x:c r="D209" s="64"/>
      <x:c r="E209" s="64"/>
      <x:c r="F209" s="64"/>
      <x:c r="G209" s="64"/>
      <x:c r="H209" s="64"/>
      <x:c r="I209" s="64"/>
      <x:c r="J209" s="64"/>
      <x:c r="K209" s="64"/>
      <x:c r="L209" s="64"/>
      <x:c r="M209" s="64"/>
      <x:c r="N209" s="64"/>
      <x:c r="O209" s="64"/>
      <x:c r="P209" s="64"/>
      <x:c r="Q209" s="64"/>
    </x:row>
    <x:row r="210">
      <x:c r="A210" s="64"/>
      <x:c r="B210" s="64"/>
      <x:c r="C210" s="64"/>
      <x:c r="D210" s="64"/>
      <x:c r="E210" s="64"/>
      <x:c r="F210" s="64"/>
      <x:c r="G210" s="64"/>
      <x:c r="H210" s="64"/>
      <x:c r="I210" s="64"/>
      <x:c r="J210" s="64"/>
      <x:c r="K210" s="64"/>
      <x:c r="L210" s="64"/>
      <x:c r="M210" s="64"/>
      <x:c r="N210" s="64"/>
      <x:c r="O210" s="64"/>
      <x:c r="P210" s="64"/>
      <x:c r="Q210" s="64"/>
    </x:row>
    <x:row r="211">
      <x:c r="A211" s="64"/>
      <x:c r="B211" s="64"/>
      <x:c r="C211" s="64"/>
      <x:c r="D211" s="64"/>
      <x:c r="E211" s="64"/>
      <x:c r="F211" s="64"/>
      <x:c r="G211" s="64"/>
      <x:c r="H211" s="64"/>
      <x:c r="I211" s="64"/>
      <x:c r="J211" s="64"/>
      <x:c r="K211" s="64"/>
      <x:c r="L211" s="64"/>
      <x:c r="M211" s="64"/>
      <x:c r="N211" s="64"/>
      <x:c r="O211" s="64"/>
      <x:c r="P211" s="64"/>
      <x:c r="Q211" s="64"/>
    </x:row>
    <x:row r="212">
      <x:c r="A212" s="64"/>
      <x:c r="B212" s="64"/>
      <x:c r="C212" s="64"/>
      <x:c r="D212" s="64"/>
      <x:c r="E212" s="64"/>
      <x:c r="F212" s="64"/>
      <x:c r="G212" s="64"/>
      <x:c r="H212" s="64"/>
      <x:c r="I212" s="64"/>
      <x:c r="J212" s="64"/>
      <x:c r="K212" s="64"/>
      <x:c r="L212" s="64"/>
      <x:c r="M212" s="64"/>
      <x:c r="N212" s="64"/>
      <x:c r="O212" s="64"/>
      <x:c r="P212" s="64"/>
      <x:c r="Q212" s="64"/>
    </x:row>
    <x:row r="213">
      <x:c r="A213" s="64"/>
      <x:c r="B213" s="64"/>
      <x:c r="C213" s="64"/>
      <x:c r="D213" s="64"/>
      <x:c r="E213" s="64"/>
      <x:c r="F213" s="64"/>
      <x:c r="G213" s="64"/>
      <x:c r="H213" s="64"/>
      <x:c r="I213" s="64"/>
      <x:c r="J213" s="64"/>
      <x:c r="K213" s="64"/>
      <x:c r="L213" s="64"/>
      <x:c r="M213" s="64"/>
      <x:c r="N213" s="64"/>
      <x:c r="O213" s="64"/>
      <x:c r="P213" s="64"/>
      <x:c r="Q213" s="64"/>
    </x:row>
    <x:row r="214">
      <x:c r="A214" s="64"/>
      <x:c r="B214" s="64"/>
      <x:c r="C214" s="64"/>
      <x:c r="D214" s="64"/>
      <x:c r="E214" s="64"/>
      <x:c r="F214" s="64"/>
      <x:c r="G214" s="64"/>
      <x:c r="H214" s="64"/>
      <x:c r="I214" s="64"/>
      <x:c r="J214" s="64"/>
      <x:c r="K214" s="64"/>
      <x:c r="L214" s="64"/>
      <x:c r="M214" s="64"/>
      <x:c r="N214" s="64"/>
      <x:c r="O214" s="64"/>
      <x:c r="P214" s="64"/>
      <x:c r="Q214" s="64"/>
    </x:row>
    <x:row r="215">
      <x:c r="A215" s="64"/>
      <x:c r="B215" s="64"/>
      <x:c r="C215" s="64"/>
      <x:c r="D215" s="64"/>
      <x:c r="E215" s="64"/>
      <x:c r="F215" s="64"/>
      <x:c r="G215" s="64"/>
      <x:c r="H215" s="64"/>
      <x:c r="I215" s="64"/>
      <x:c r="J215" s="64"/>
      <x:c r="K215" s="64"/>
      <x:c r="L215" s="64"/>
      <x:c r="M215" s="64"/>
      <x:c r="N215" s="64"/>
      <x:c r="O215" s="64"/>
      <x:c r="P215" s="64"/>
      <x:c r="Q215" s="64"/>
    </x:row>
    <x:row r="216">
      <x:c r="A216" s="64"/>
      <x:c r="B216" s="64"/>
      <x:c r="C216" s="64"/>
      <x:c r="D216" s="64"/>
      <x:c r="E216" s="64"/>
      <x:c r="F216" s="64"/>
      <x:c r="G216" s="64"/>
      <x:c r="H216" s="64"/>
      <x:c r="I216" s="64"/>
      <x:c r="J216" s="64"/>
      <x:c r="K216" s="64"/>
      <x:c r="L216" s="64"/>
      <x:c r="M216" s="64"/>
      <x:c r="N216" s="64"/>
      <x:c r="O216" s="64"/>
      <x:c r="P216" s="64"/>
      <x:c r="Q216" s="64"/>
    </x:row>
    <x:row r="217">
      <x:c r="A217" s="64"/>
      <x:c r="B217" s="64"/>
      <x:c r="C217" s="64"/>
      <x:c r="D217" s="64"/>
      <x:c r="E217" s="64"/>
      <x:c r="F217" s="64"/>
      <x:c r="G217" s="64"/>
      <x:c r="H217" s="64"/>
      <x:c r="I217" s="64"/>
      <x:c r="J217" s="64"/>
      <x:c r="K217" s="64"/>
      <x:c r="L217" s="64"/>
      <x:c r="M217" s="64"/>
      <x:c r="N217" s="64"/>
      <x:c r="O217" s="64"/>
      <x:c r="P217" s="64"/>
      <x:c r="Q217" s="64"/>
    </x:row>
    <x:row r="218">
      <x:c r="A218" s="64"/>
      <x:c r="B218" s="64"/>
      <x:c r="C218" s="64"/>
      <x:c r="D218" s="64"/>
      <x:c r="E218" s="64"/>
      <x:c r="F218" s="64"/>
      <x:c r="G218" s="64"/>
      <x:c r="H218" s="64"/>
      <x:c r="I218" s="64"/>
      <x:c r="J218" s="64"/>
      <x:c r="K218" s="64"/>
      <x:c r="L218" s="64"/>
      <x:c r="M218" s="64"/>
      <x:c r="N218" s="64"/>
      <x:c r="O218" s="64"/>
      <x:c r="P218" s="64"/>
      <x:c r="Q218" s="64"/>
    </x:row>
    <x:row r="219">
      <x:c r="A219" s="64"/>
      <x:c r="B219" s="64"/>
      <x:c r="C219" s="64"/>
      <x:c r="D219" s="64"/>
      <x:c r="E219" s="64"/>
      <x:c r="F219" s="64"/>
      <x:c r="G219" s="64"/>
      <x:c r="H219" s="64"/>
      <x:c r="I219" s="64"/>
      <x:c r="J219" s="64"/>
      <x:c r="K219" s="64"/>
      <x:c r="L219" s="64"/>
      <x:c r="M219" s="64"/>
      <x:c r="N219" s="64"/>
      <x:c r="O219" s="64"/>
      <x:c r="P219" s="64"/>
      <x:c r="Q219" s="64"/>
    </x:row>
    <x:row r="220">
      <x:c r="A220" s="64"/>
      <x:c r="B220" s="64"/>
      <x:c r="C220" s="64"/>
      <x:c r="D220" s="64"/>
      <x:c r="E220" s="64"/>
      <x:c r="F220" s="64"/>
      <x:c r="G220" s="64"/>
      <x:c r="H220" s="64"/>
      <x:c r="I220" s="64"/>
      <x:c r="J220" s="64"/>
      <x:c r="K220" s="64"/>
      <x:c r="L220" s="64"/>
      <x:c r="M220" s="64"/>
      <x:c r="N220" s="64"/>
      <x:c r="O220" s="64"/>
      <x:c r="P220" s="64"/>
      <x:c r="Q220" s="64"/>
    </x:row>
  </x:sheetData>
  <x:mergeCells>
    <x:mergeCell ref="A1:E1"/>
    <x:mergeCell ref="A2:E2"/>
    <x:mergeCell ref="A18:E18"/>
    <x:mergeCell ref="B19:E19"/>
    <x:mergeCell ref="B20:E20"/>
    <x:mergeCell ref="B21:E21"/>
    <x:mergeCell ref="B22:E22"/>
    <x:mergeCell ref="B23:E23"/>
    <x:mergeCell ref="B24:E24"/>
  </x:mergeCells>
  <x:pageMargins left="0.7" right="0.7" top="0.75" bottom="0.75" header="0.3" footer="0.3"/>
</x:worksheet>
</file>